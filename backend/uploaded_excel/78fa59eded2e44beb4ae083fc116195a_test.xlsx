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herpagcm-my.sharepoint.com/personal/chongba_sherpagcm_com/Documents/Documents - SCC/SCC Workspace/ESTIMATES/3. New Buildings/201103 SUCF Farmingdale Applied Social Sciences/"/>
    </mc:Choice>
  </mc:AlternateContent>
  <xr:revisionPtr revIDLastSave="2596" documentId="8_{FF367AA5-74B3-4F8E-8143-49E456DABC9D}" xr6:coauthVersionLast="47" xr6:coauthVersionMax="47" xr10:uidLastSave="{FDF27CD6-F279-4ABC-9AE6-E986B8008E5F}"/>
  <bookViews>
    <workbookView minimized="1" xWindow="1600" yWindow="3620" windowWidth="16920" windowHeight="7070" activeTab="5" xr2:uid="{00000000-000D-0000-FFFF-FFFF00000000}"/>
  </bookViews>
  <sheets>
    <sheet name="TITLE" sheetId="1" r:id="rId1"/>
    <sheet name="BOE" sheetId="2" r:id="rId2"/>
    <sheet name="SUM" sheetId="5" r:id="rId3"/>
    <sheet name="EST" sheetId="6" r:id="rId4"/>
    <sheet name="SUM SITE" sheetId="12" r:id="rId5"/>
    <sheet name="EST SITE" sheetId="13" r:id="rId6"/>
    <sheet name="ECM-SUM" sheetId="9" r:id="rId7"/>
    <sheet name="ECM-SUM (2)" sheetId="11" state="hidden" r:id="rId8"/>
    <sheet name="ECM-EST" sheetId="10" r:id="rId9"/>
  </sheets>
  <externalReferences>
    <externalReference r:id="rId10"/>
  </externalReferences>
  <definedNames>
    <definedName name="_xlnm._FilterDatabase" localSheetId="5" hidden="1">'EST SITE'!$A$12:$U$424</definedName>
    <definedName name="_xlnm.Print_Area" localSheetId="1">BOE!$A$1:$J$51</definedName>
    <definedName name="_xlnm.Print_Area" localSheetId="8">'ECM-EST'!$A$1:$G$302</definedName>
    <definedName name="_xlnm.Print_Area" localSheetId="3">EST!$A$1:$K$556</definedName>
    <definedName name="_xlnm.Print_Area" localSheetId="5">'EST SITE'!$A$1:$K$425</definedName>
    <definedName name="_xlnm.Print_Area" localSheetId="2">SUM!$A$1:$I$56</definedName>
    <definedName name="_xlnm.Print_Area" localSheetId="4">'SUM SITE'!$A$1:$G$40</definedName>
    <definedName name="_xlnm.Print_Area" localSheetId="0">TITLE!$A$1:$I$28</definedName>
    <definedName name="_xlnm.Print_Titles" localSheetId="1">BOE!$1:$11</definedName>
    <definedName name="_xlnm.Print_Titles" localSheetId="8">'ECM-EST'!$8:$11</definedName>
    <definedName name="_xlnm.Print_Titles" localSheetId="6">'ECM-SUM'!$1:$11</definedName>
    <definedName name="_xlnm.Print_Titles" localSheetId="3">EST!$1:$10</definedName>
    <definedName name="_xlnm.Print_Titles" localSheetId="5">'EST SITE'!$1:$10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7" i="13" l="1"/>
  <c r="H427" i="13"/>
  <c r="F428" i="13"/>
  <c r="F429" i="13" s="1"/>
  <c r="H428" i="13"/>
  <c r="J428" i="13"/>
  <c r="F427" i="13"/>
  <c r="F299" i="10"/>
  <c r="F290" i="10"/>
  <c r="F281" i="10"/>
  <c r="F243" i="10"/>
  <c r="F170" i="10"/>
  <c r="F98" i="10"/>
  <c r="F89" i="10"/>
  <c r="F80" i="10"/>
  <c r="F66" i="10"/>
  <c r="F54" i="10"/>
  <c r="F41" i="10"/>
  <c r="O50" i="5"/>
  <c r="F8" i="10"/>
  <c r="H5" i="9"/>
  <c r="E34" i="10"/>
  <c r="F34" i="10" s="1"/>
  <c r="A34" i="10"/>
  <c r="E23" i="10"/>
  <c r="F23" i="10" s="1"/>
  <c r="A23" i="10"/>
  <c r="E18" i="10"/>
  <c r="F18" i="10" s="1"/>
  <c r="A18" i="10"/>
  <c r="F238" i="10" l="1"/>
  <c r="A238" i="10"/>
  <c r="F237" i="10"/>
  <c r="A237" i="10"/>
  <c r="F236" i="10"/>
  <c r="A236" i="10"/>
  <c r="F235" i="10"/>
  <c r="A235" i="10"/>
  <c r="F234" i="10"/>
  <c r="A234" i="10"/>
  <c r="F233" i="10"/>
  <c r="A233" i="10"/>
  <c r="F232" i="10"/>
  <c r="A232" i="10"/>
  <c r="F231" i="10"/>
  <c r="A231" i="10"/>
  <c r="F230" i="10"/>
  <c r="A230" i="10"/>
  <c r="F229" i="10"/>
  <c r="A229" i="10"/>
  <c r="F228" i="10"/>
  <c r="A228" i="10"/>
  <c r="F227" i="10"/>
  <c r="A227" i="10"/>
  <c r="F226" i="10"/>
  <c r="A226" i="10"/>
  <c r="F225" i="10"/>
  <c r="A225" i="10"/>
  <c r="F224" i="10"/>
  <c r="A224" i="10"/>
  <c r="F223" i="10"/>
  <c r="A223" i="10"/>
  <c r="F222" i="10"/>
  <c r="A222" i="10"/>
  <c r="F221" i="10"/>
  <c r="A221" i="10"/>
  <c r="F220" i="10"/>
  <c r="A220" i="10"/>
  <c r="F219" i="10"/>
  <c r="A219" i="10"/>
  <c r="F218" i="10"/>
  <c r="A218" i="10"/>
  <c r="F217" i="10"/>
  <c r="A217" i="10"/>
  <c r="F216" i="10"/>
  <c r="A216" i="10"/>
  <c r="F215" i="10"/>
  <c r="A215" i="10"/>
  <c r="F214" i="10"/>
  <c r="A214" i="10"/>
  <c r="F213" i="10"/>
  <c r="A213" i="10"/>
  <c r="F212" i="10"/>
  <c r="A212" i="10"/>
  <c r="F211" i="10"/>
  <c r="A211" i="10"/>
  <c r="A210" i="10"/>
  <c r="A209" i="10"/>
  <c r="F208" i="10"/>
  <c r="A208" i="10"/>
  <c r="F207" i="10"/>
  <c r="A207" i="10"/>
  <c r="F206" i="10"/>
  <c r="A206" i="10"/>
  <c r="F205" i="10"/>
  <c r="A205" i="10"/>
  <c r="F204" i="10"/>
  <c r="A204" i="10"/>
  <c r="F203" i="10"/>
  <c r="A203" i="10"/>
  <c r="F202" i="10"/>
  <c r="A202" i="10"/>
  <c r="F201" i="10"/>
  <c r="A201" i="10"/>
  <c r="F200" i="10"/>
  <c r="A200" i="10"/>
  <c r="F199" i="10"/>
  <c r="A199" i="10"/>
  <c r="F198" i="10"/>
  <c r="A198" i="10"/>
  <c r="F197" i="10"/>
  <c r="A197" i="10"/>
  <c r="F196" i="10"/>
  <c r="A196" i="10"/>
  <c r="F195" i="10"/>
  <c r="A195" i="10"/>
  <c r="F194" i="10"/>
  <c r="A194" i="10"/>
  <c r="F193" i="10"/>
  <c r="A193" i="10"/>
  <c r="F192" i="10"/>
  <c r="A192" i="10"/>
  <c r="F191" i="10"/>
  <c r="A191" i="10"/>
  <c r="F190" i="10"/>
  <c r="A190" i="10"/>
  <c r="F189" i="10"/>
  <c r="A189" i="10"/>
  <c r="F188" i="10"/>
  <c r="A188" i="10"/>
  <c r="F187" i="10"/>
  <c r="A187" i="10"/>
  <c r="F186" i="10"/>
  <c r="A186" i="10"/>
  <c r="F185" i="10"/>
  <c r="A185" i="10"/>
  <c r="F184" i="10"/>
  <c r="A184" i="10"/>
  <c r="F183" i="10"/>
  <c r="A183" i="10"/>
  <c r="F182" i="10"/>
  <c r="A182" i="10"/>
  <c r="F181" i="10"/>
  <c r="A181" i="10"/>
  <c r="F180" i="10"/>
  <c r="A180" i="10"/>
  <c r="F179" i="10"/>
  <c r="A179" i="10"/>
  <c r="F178" i="10"/>
  <c r="A178" i="10"/>
  <c r="F177" i="10"/>
  <c r="A177" i="10"/>
  <c r="F176" i="10"/>
  <c r="A176" i="10"/>
  <c r="A17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F164" i="10"/>
  <c r="F165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A102" i="10" l="1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60" i="10"/>
  <c r="A161" i="10"/>
  <c r="A162" i="10"/>
  <c r="A163" i="10"/>
  <c r="A164" i="10"/>
  <c r="A165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A259" i="10" l="1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F268" i="10"/>
  <c r="F272" i="10"/>
  <c r="F273" i="10"/>
  <c r="F274" i="10"/>
  <c r="F275" i="10"/>
  <c r="F276" i="10"/>
  <c r="F261" i="10"/>
  <c r="F262" i="10"/>
  <c r="F263" i="10"/>
  <c r="F264" i="10"/>
  <c r="F265" i="10"/>
  <c r="F266" i="10"/>
  <c r="F267" i="10"/>
  <c r="F269" i="10"/>
  <c r="F270" i="10"/>
  <c r="F271" i="10"/>
  <c r="F260" i="10"/>
  <c r="A166" i="10"/>
  <c r="A167" i="10"/>
  <c r="A247" i="10" l="1"/>
  <c r="A248" i="10"/>
  <c r="A249" i="10"/>
  <c r="A250" i="10"/>
  <c r="A251" i="10"/>
  <c r="A252" i="10"/>
  <c r="A253" i="10"/>
  <c r="A254" i="10"/>
  <c r="A255" i="10"/>
  <c r="A256" i="10"/>
  <c r="A257" i="10"/>
  <c r="A258" i="10"/>
  <c r="A278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A294" i="10"/>
  <c r="A295" i="10"/>
  <c r="A296" i="10"/>
  <c r="F36" i="10"/>
  <c r="A36" i="10"/>
  <c r="A35" i="10"/>
  <c r="C33" i="10"/>
  <c r="E17" i="10"/>
  <c r="E16" i="10"/>
  <c r="B173" i="10" l="1"/>
  <c r="B243" i="10" s="1"/>
  <c r="A244" i="10"/>
  <c r="A243" i="10"/>
  <c r="A242" i="10"/>
  <c r="C241" i="10"/>
  <c r="A241" i="10"/>
  <c r="F240" i="10"/>
  <c r="A240" i="10"/>
  <c r="A239" i="10"/>
  <c r="A174" i="10"/>
  <c r="A173" i="10"/>
  <c r="A172" i="10"/>
  <c r="F241" i="10" l="1"/>
  <c r="H22" i="9" s="1"/>
  <c r="C84" i="10" l="1"/>
  <c r="E33" i="10"/>
  <c r="F33" i="10" s="1"/>
  <c r="E32" i="10"/>
  <c r="C32" i="10"/>
  <c r="A33" i="10"/>
  <c r="A24" i="13" l="1"/>
  <c r="A25" i="13"/>
  <c r="A26" i="13"/>
  <c r="A24" i="12"/>
  <c r="A25" i="12"/>
  <c r="A24" i="6"/>
  <c r="A24" i="5"/>
  <c r="A25" i="5"/>
  <c r="A26" i="5"/>
  <c r="B6" i="12"/>
  <c r="B5" i="12"/>
  <c r="B4" i="12"/>
  <c r="J6" i="13"/>
  <c r="F4" i="12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I4" i="5"/>
  <c r="D54" i="5"/>
  <c r="I54" i="5" s="1"/>
  <c r="I8" i="6"/>
  <c r="F54" i="5" s="1"/>
  <c r="G8" i="6"/>
  <c r="E54" i="5" s="1"/>
  <c r="I56" i="5" l="1"/>
  <c r="I55" i="5"/>
  <c r="G459" i="6" l="1"/>
  <c r="G451" i="6"/>
  <c r="G443" i="6"/>
  <c r="A253" i="6"/>
  <c r="A254" i="6"/>
  <c r="A255" i="6"/>
  <c r="F255" i="6"/>
  <c r="G255" i="6"/>
  <c r="H255" i="6" s="1"/>
  <c r="I255" i="6"/>
  <c r="J255" i="6" s="1"/>
  <c r="G208" i="6"/>
  <c r="G202" i="6"/>
  <c r="G194" i="6"/>
  <c r="G183" i="6"/>
  <c r="G177" i="6"/>
  <c r="G171" i="6"/>
  <c r="G98" i="6"/>
  <c r="G52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7" i="13"/>
  <c r="F57" i="13"/>
  <c r="G57" i="13"/>
  <c r="H57" i="13" s="1"/>
  <c r="I57" i="13"/>
  <c r="J57" i="13" s="1"/>
  <c r="A58" i="13"/>
  <c r="F58" i="13"/>
  <c r="H58" i="13"/>
  <c r="A59" i="13"/>
  <c r="F59" i="13"/>
  <c r="G59" i="13"/>
  <c r="H59" i="13" s="1"/>
  <c r="A60" i="13"/>
  <c r="F60" i="13"/>
  <c r="H60" i="13"/>
  <c r="A61" i="13"/>
  <c r="F61" i="13"/>
  <c r="G61" i="13"/>
  <c r="H61" i="13" s="1"/>
  <c r="I61" i="13"/>
  <c r="J61" i="13" s="1"/>
  <c r="A62" i="13"/>
  <c r="F62" i="13"/>
  <c r="G62" i="13"/>
  <c r="H62" i="13" s="1"/>
  <c r="I62" i="13"/>
  <c r="J62" i="13" s="1"/>
  <c r="A63" i="13"/>
  <c r="F63" i="13"/>
  <c r="H63" i="13"/>
  <c r="A64" i="13"/>
  <c r="F64" i="13"/>
  <c r="G64" i="13"/>
  <c r="H64" i="13" s="1"/>
  <c r="A65" i="13"/>
  <c r="F65" i="13"/>
  <c r="H65" i="13"/>
  <c r="A66" i="13"/>
  <c r="F66" i="13"/>
  <c r="G66" i="13"/>
  <c r="H66" i="13" s="1"/>
  <c r="I66" i="13"/>
  <c r="J66" i="13" s="1"/>
  <c r="A67" i="13"/>
  <c r="F67" i="13"/>
  <c r="H67" i="13"/>
  <c r="A68" i="13"/>
  <c r="F68" i="13"/>
  <c r="G68" i="13"/>
  <c r="H68" i="13"/>
  <c r="I68" i="13"/>
  <c r="J68" i="13"/>
  <c r="A69" i="13"/>
  <c r="F69" i="13"/>
  <c r="H69" i="13"/>
  <c r="A70" i="13"/>
  <c r="E70" i="13"/>
  <c r="F70" i="13"/>
  <c r="G70" i="13"/>
  <c r="H70" i="13"/>
  <c r="I70" i="13"/>
  <c r="J70" i="13"/>
  <c r="A71" i="13"/>
  <c r="F71" i="13"/>
  <c r="H71" i="13"/>
  <c r="A72" i="13"/>
  <c r="E72" i="13"/>
  <c r="F72" i="13" s="1"/>
  <c r="G72" i="13"/>
  <c r="H72" i="13"/>
  <c r="A73" i="13"/>
  <c r="F73" i="13"/>
  <c r="H73" i="13"/>
  <c r="A74" i="13"/>
  <c r="F74" i="13"/>
  <c r="H74" i="13"/>
  <c r="A75" i="13"/>
  <c r="E75" i="13"/>
  <c r="F75" i="13" s="1"/>
  <c r="G75" i="13"/>
  <c r="H75" i="13" s="1"/>
  <c r="I75" i="13"/>
  <c r="J75" i="13" s="1"/>
  <c r="A76" i="13"/>
  <c r="F76" i="13"/>
  <c r="H76" i="13"/>
  <c r="A77" i="13"/>
  <c r="E77" i="13"/>
  <c r="I77" i="13" s="1"/>
  <c r="J77" i="13" s="1"/>
  <c r="G77" i="13"/>
  <c r="H77" i="13" s="1"/>
  <c r="A273" i="13"/>
  <c r="A274" i="13"/>
  <c r="F274" i="13"/>
  <c r="G274" i="13"/>
  <c r="I274" i="13" s="1"/>
  <c r="J274" i="13" s="1"/>
  <c r="H274" i="13"/>
  <c r="A275" i="13"/>
  <c r="F275" i="13"/>
  <c r="G275" i="13"/>
  <c r="H275" i="13" s="1"/>
  <c r="A276" i="13"/>
  <c r="F276" i="13"/>
  <c r="G276" i="13"/>
  <c r="I276" i="13" s="1"/>
  <c r="J276" i="13" s="1"/>
  <c r="A277" i="13"/>
  <c r="F277" i="13"/>
  <c r="G277" i="13"/>
  <c r="H277" i="13" s="1"/>
  <c r="I277" i="13"/>
  <c r="J277" i="13" s="1"/>
  <c r="A278" i="13"/>
  <c r="F278" i="13"/>
  <c r="G278" i="13"/>
  <c r="I278" i="13" s="1"/>
  <c r="J278" i="13" s="1"/>
  <c r="H278" i="13"/>
  <c r="A279" i="13"/>
  <c r="F279" i="13"/>
  <c r="G279" i="13"/>
  <c r="H279" i="13"/>
  <c r="I279" i="13"/>
  <c r="J279" i="13" s="1"/>
  <c r="A280" i="13"/>
  <c r="F280" i="13"/>
  <c r="H280" i="13"/>
  <c r="A281" i="13"/>
  <c r="F281" i="13"/>
  <c r="H281" i="13"/>
  <c r="A282" i="13"/>
  <c r="F282" i="13"/>
  <c r="H282" i="13"/>
  <c r="A283" i="13"/>
  <c r="E283" i="13"/>
  <c r="F283" i="13" s="1"/>
  <c r="G283" i="13"/>
  <c r="H283" i="13" s="1"/>
  <c r="A284" i="13"/>
  <c r="E284" i="13"/>
  <c r="I284" i="13" s="1"/>
  <c r="J284" i="13" s="1"/>
  <c r="F284" i="13"/>
  <c r="G284" i="13"/>
  <c r="H284" i="13" s="1"/>
  <c r="A285" i="13"/>
  <c r="F285" i="13"/>
  <c r="H285" i="13"/>
  <c r="A286" i="13"/>
  <c r="F286" i="13"/>
  <c r="H286" i="13"/>
  <c r="A287" i="13"/>
  <c r="F287" i="13"/>
  <c r="H287" i="13"/>
  <c r="A288" i="13"/>
  <c r="E288" i="13"/>
  <c r="I288" i="13" s="1"/>
  <c r="J288" i="13" s="1"/>
  <c r="G288" i="13"/>
  <c r="H288" i="13"/>
  <c r="A289" i="13"/>
  <c r="E289" i="13"/>
  <c r="F289" i="13" s="1"/>
  <c r="G289" i="13"/>
  <c r="H289" i="13"/>
  <c r="I289" i="13"/>
  <c r="J289" i="13"/>
  <c r="A290" i="13"/>
  <c r="E290" i="13"/>
  <c r="I290" i="13" s="1"/>
  <c r="J290" i="13" s="1"/>
  <c r="F290" i="13"/>
  <c r="G290" i="13"/>
  <c r="H290" i="13" s="1"/>
  <c r="A291" i="13"/>
  <c r="F291" i="13"/>
  <c r="G291" i="13"/>
  <c r="H291" i="13"/>
  <c r="I291" i="13"/>
  <c r="J291" i="13" s="1"/>
  <c r="A292" i="13"/>
  <c r="E292" i="13"/>
  <c r="F292" i="13" s="1"/>
  <c r="G292" i="13"/>
  <c r="H292" i="13"/>
  <c r="A293" i="13"/>
  <c r="F293" i="13"/>
  <c r="H293" i="13"/>
  <c r="A294" i="13"/>
  <c r="F294" i="13"/>
  <c r="H294" i="13"/>
  <c r="A295" i="13"/>
  <c r="E295" i="13"/>
  <c r="F295" i="13"/>
  <c r="G295" i="13"/>
  <c r="A296" i="13"/>
  <c r="E296" i="13"/>
  <c r="F296" i="13" s="1"/>
  <c r="G296" i="13"/>
  <c r="H296" i="13" s="1"/>
  <c r="A297" i="13"/>
  <c r="E297" i="13"/>
  <c r="F297" i="13"/>
  <c r="G297" i="13"/>
  <c r="H297" i="13" s="1"/>
  <c r="I297" i="13"/>
  <c r="J297" i="13" s="1"/>
  <c r="A298" i="13"/>
  <c r="E298" i="13"/>
  <c r="F298" i="13" s="1"/>
  <c r="G298" i="13"/>
  <c r="H298" i="13" s="1"/>
  <c r="A299" i="13"/>
  <c r="F299" i="13"/>
  <c r="G299" i="13"/>
  <c r="H299" i="13" s="1"/>
  <c r="I299" i="13"/>
  <c r="J299" i="13"/>
  <c r="A300" i="13"/>
  <c r="F300" i="13"/>
  <c r="H300" i="13"/>
  <c r="A301" i="13"/>
  <c r="F301" i="13"/>
  <c r="H301" i="13"/>
  <c r="A302" i="13"/>
  <c r="E302" i="13"/>
  <c r="F302" i="13"/>
  <c r="G302" i="13"/>
  <c r="H302" i="13"/>
  <c r="I302" i="13"/>
  <c r="J302" i="13"/>
  <c r="A303" i="13"/>
  <c r="E303" i="13"/>
  <c r="F303" i="13" s="1"/>
  <c r="G303" i="13"/>
  <c r="H303" i="13" s="1"/>
  <c r="A304" i="13"/>
  <c r="E304" i="13"/>
  <c r="F304" i="13"/>
  <c r="G304" i="13"/>
  <c r="H304" i="13"/>
  <c r="A305" i="13"/>
  <c r="F305" i="13"/>
  <c r="H305" i="13"/>
  <c r="A306" i="13"/>
  <c r="F306" i="13"/>
  <c r="H306" i="13"/>
  <c r="A307" i="13"/>
  <c r="E307" i="13"/>
  <c r="F307" i="13" s="1"/>
  <c r="G307" i="13"/>
  <c r="H307" i="13" s="1"/>
  <c r="A308" i="13"/>
  <c r="F308" i="13"/>
  <c r="H308" i="13"/>
  <c r="A309" i="13"/>
  <c r="E309" i="13"/>
  <c r="F309" i="13" s="1"/>
  <c r="G309" i="13"/>
  <c r="H309" i="13" s="1"/>
  <c r="A310" i="13"/>
  <c r="E310" i="13"/>
  <c r="F310" i="13" s="1"/>
  <c r="G310" i="13"/>
  <c r="H310" i="13"/>
  <c r="A311" i="13"/>
  <c r="E311" i="13"/>
  <c r="F311" i="13"/>
  <c r="G311" i="13"/>
  <c r="H311" i="13" s="1"/>
  <c r="A312" i="13"/>
  <c r="E312" i="13"/>
  <c r="I312" i="13" s="1"/>
  <c r="J312" i="13" s="1"/>
  <c r="G312" i="13"/>
  <c r="H312" i="13"/>
  <c r="A313" i="13"/>
  <c r="E313" i="13"/>
  <c r="F313" i="13" s="1"/>
  <c r="G313" i="13"/>
  <c r="H313" i="13" s="1"/>
  <c r="A314" i="13"/>
  <c r="E314" i="13"/>
  <c r="I314" i="13" s="1"/>
  <c r="J314" i="13" s="1"/>
  <c r="G314" i="13"/>
  <c r="H314" i="13" s="1"/>
  <c r="A315" i="13"/>
  <c r="F315" i="13"/>
  <c r="G315" i="13"/>
  <c r="H315" i="13" s="1"/>
  <c r="A316" i="13"/>
  <c r="F316" i="13"/>
  <c r="H316" i="13"/>
  <c r="A317" i="13"/>
  <c r="F317" i="13"/>
  <c r="H317" i="13"/>
  <c r="A318" i="13"/>
  <c r="F318" i="13"/>
  <c r="H318" i="13"/>
  <c r="A319" i="13"/>
  <c r="F319" i="13"/>
  <c r="H319" i="13"/>
  <c r="A320" i="13"/>
  <c r="E320" i="13"/>
  <c r="F320" i="13" s="1"/>
  <c r="G320" i="13"/>
  <c r="H320" i="13"/>
  <c r="A321" i="13"/>
  <c r="F321" i="13"/>
  <c r="H321" i="13"/>
  <c r="A322" i="13"/>
  <c r="F322" i="13"/>
  <c r="H322" i="13"/>
  <c r="A323" i="13"/>
  <c r="E323" i="13"/>
  <c r="F323" i="13"/>
  <c r="G323" i="13"/>
  <c r="H323" i="13"/>
  <c r="A324" i="13"/>
  <c r="E324" i="13"/>
  <c r="F324" i="13"/>
  <c r="G324" i="13"/>
  <c r="H324" i="13" s="1"/>
  <c r="A325" i="13"/>
  <c r="F325" i="13"/>
  <c r="G325" i="13"/>
  <c r="H325" i="13" s="1"/>
  <c r="A326" i="13"/>
  <c r="E326" i="13"/>
  <c r="F326" i="13"/>
  <c r="G326" i="13"/>
  <c r="I326" i="13" s="1"/>
  <c r="J326" i="13" s="1"/>
  <c r="H326" i="13"/>
  <c r="A327" i="13"/>
  <c r="F327" i="13"/>
  <c r="H327" i="13"/>
  <c r="A328" i="13"/>
  <c r="F328" i="13"/>
  <c r="H328" i="13"/>
  <c r="A329" i="13"/>
  <c r="E329" i="13"/>
  <c r="F329" i="13" s="1"/>
  <c r="G329" i="13"/>
  <c r="H329" i="13" s="1"/>
  <c r="A330" i="13"/>
  <c r="E330" i="13"/>
  <c r="I330" i="13" s="1"/>
  <c r="J330" i="13" s="1"/>
  <c r="G330" i="13"/>
  <c r="H330" i="13" s="1"/>
  <c r="A331" i="13"/>
  <c r="E331" i="13"/>
  <c r="F331" i="13" s="1"/>
  <c r="G331" i="13"/>
  <c r="H331" i="13" s="1"/>
  <c r="I331" i="13"/>
  <c r="J331" i="13" s="1"/>
  <c r="A332" i="13"/>
  <c r="F332" i="13"/>
  <c r="G332" i="13"/>
  <c r="I332" i="13" s="1"/>
  <c r="J332" i="13" s="1"/>
  <c r="H332" i="13"/>
  <c r="A333" i="13"/>
  <c r="F333" i="13"/>
  <c r="H333" i="13"/>
  <c r="A334" i="13"/>
  <c r="F334" i="13"/>
  <c r="H334" i="13"/>
  <c r="A335" i="13"/>
  <c r="E335" i="13"/>
  <c r="F335" i="13" s="1"/>
  <c r="G335" i="13"/>
  <c r="I335" i="13" s="1"/>
  <c r="J335" i="13" s="1"/>
  <c r="A336" i="13"/>
  <c r="E336" i="13"/>
  <c r="I336" i="13" s="1"/>
  <c r="J336" i="13" s="1"/>
  <c r="G336" i="13"/>
  <c r="H336" i="13" s="1"/>
  <c r="A337" i="13"/>
  <c r="F337" i="13"/>
  <c r="G337" i="13"/>
  <c r="H337" i="13" s="1"/>
  <c r="A338" i="13"/>
  <c r="F338" i="13"/>
  <c r="H338" i="13"/>
  <c r="A339" i="13"/>
  <c r="F339" i="13"/>
  <c r="H339" i="13"/>
  <c r="A340" i="13"/>
  <c r="E340" i="13"/>
  <c r="F340" i="13"/>
  <c r="G340" i="13"/>
  <c r="H340" i="13" s="1"/>
  <c r="I340" i="13"/>
  <c r="J340" i="13" s="1"/>
  <c r="A341" i="13"/>
  <c r="E341" i="13"/>
  <c r="F341" i="13" s="1"/>
  <c r="G341" i="13"/>
  <c r="H341" i="13" s="1"/>
  <c r="A342" i="13"/>
  <c r="E342" i="13"/>
  <c r="I342" i="13" s="1"/>
  <c r="J342" i="13" s="1"/>
  <c r="G342" i="13"/>
  <c r="H342" i="13"/>
  <c r="A343" i="13"/>
  <c r="E343" i="13"/>
  <c r="F343" i="13" s="1"/>
  <c r="G343" i="13"/>
  <c r="H343" i="13"/>
  <c r="I343" i="13"/>
  <c r="J343" i="13" s="1"/>
  <c r="A344" i="13"/>
  <c r="E344" i="13"/>
  <c r="I344" i="13" s="1"/>
  <c r="J344" i="13" s="1"/>
  <c r="G344" i="13"/>
  <c r="H344" i="13"/>
  <c r="A345" i="13"/>
  <c r="E345" i="13"/>
  <c r="F345" i="13"/>
  <c r="G345" i="13"/>
  <c r="H345" i="13" s="1"/>
  <c r="A346" i="13"/>
  <c r="E346" i="13"/>
  <c r="F346" i="13"/>
  <c r="G346" i="13"/>
  <c r="H346" i="13"/>
  <c r="A347" i="13"/>
  <c r="E347" i="13"/>
  <c r="F347" i="13" s="1"/>
  <c r="G347" i="13"/>
  <c r="H347" i="13" s="1"/>
  <c r="A348" i="13"/>
  <c r="E348" i="13"/>
  <c r="F348" i="13"/>
  <c r="G348" i="13"/>
  <c r="H348" i="13" s="1"/>
  <c r="A349" i="13"/>
  <c r="E349" i="13"/>
  <c r="F349" i="13" s="1"/>
  <c r="G349" i="13"/>
  <c r="H349" i="13" s="1"/>
  <c r="I349" i="13"/>
  <c r="J349" i="13" s="1"/>
  <c r="A350" i="13"/>
  <c r="E350" i="13"/>
  <c r="F350" i="13" s="1"/>
  <c r="G350" i="13"/>
  <c r="I350" i="13" s="1"/>
  <c r="J350" i="13" s="1"/>
  <c r="A351" i="13"/>
  <c r="E351" i="13"/>
  <c r="F351" i="13" s="1"/>
  <c r="G351" i="13"/>
  <c r="H351" i="13" s="1"/>
  <c r="A352" i="13"/>
  <c r="E352" i="13"/>
  <c r="I352" i="13" s="1"/>
  <c r="J352" i="13" s="1"/>
  <c r="G352" i="13"/>
  <c r="H352" i="13" s="1"/>
  <c r="A353" i="13"/>
  <c r="E353" i="13"/>
  <c r="F353" i="13" s="1"/>
  <c r="G353" i="13"/>
  <c r="H353" i="13" s="1"/>
  <c r="A354" i="13"/>
  <c r="E354" i="13"/>
  <c r="F354" i="13"/>
  <c r="G354" i="13"/>
  <c r="H354" i="13" s="1"/>
  <c r="I354" i="13"/>
  <c r="J354" i="13" s="1"/>
  <c r="A355" i="13"/>
  <c r="E355" i="13"/>
  <c r="F355" i="13" s="1"/>
  <c r="G355" i="13"/>
  <c r="H355" i="13"/>
  <c r="A356" i="13"/>
  <c r="E356" i="13"/>
  <c r="F356" i="13"/>
  <c r="G356" i="13"/>
  <c r="H356" i="13" s="1"/>
  <c r="A357" i="13"/>
  <c r="E357" i="13"/>
  <c r="F357" i="13" s="1"/>
  <c r="G357" i="13"/>
  <c r="H357" i="13" s="1"/>
  <c r="A358" i="13"/>
  <c r="E358" i="13"/>
  <c r="I358" i="13" s="1"/>
  <c r="J358" i="13" s="1"/>
  <c r="F358" i="13"/>
  <c r="G358" i="13"/>
  <c r="H358" i="13"/>
  <c r="A359" i="13"/>
  <c r="E359" i="13"/>
  <c r="F359" i="13" s="1"/>
  <c r="G359" i="13"/>
  <c r="H359" i="13" s="1"/>
  <c r="A360" i="13"/>
  <c r="E360" i="13"/>
  <c r="I360" i="13" s="1"/>
  <c r="J360" i="13" s="1"/>
  <c r="G360" i="13"/>
  <c r="H360" i="13" s="1"/>
  <c r="A361" i="13"/>
  <c r="E361" i="13"/>
  <c r="F361" i="13" s="1"/>
  <c r="G361" i="13"/>
  <c r="H361" i="13" s="1"/>
  <c r="I361" i="13"/>
  <c r="J361" i="13" s="1"/>
  <c r="A362" i="13"/>
  <c r="E362" i="13"/>
  <c r="F362" i="13" s="1"/>
  <c r="G362" i="13"/>
  <c r="H362" i="13"/>
  <c r="A363" i="13"/>
  <c r="E363" i="13"/>
  <c r="I363" i="13" s="1"/>
  <c r="J363" i="13" s="1"/>
  <c r="F363" i="13"/>
  <c r="G363" i="13"/>
  <c r="H363" i="13" s="1"/>
  <c r="A364" i="13"/>
  <c r="F364" i="13"/>
  <c r="G364" i="13"/>
  <c r="H364" i="13" s="1"/>
  <c r="A365" i="13"/>
  <c r="F365" i="13"/>
  <c r="H365" i="13"/>
  <c r="A366" i="13"/>
  <c r="F366" i="13"/>
  <c r="H366" i="13"/>
  <c r="A367" i="13"/>
  <c r="E367" i="13"/>
  <c r="F367" i="13" s="1"/>
  <c r="G367" i="13"/>
  <c r="H367" i="13" s="1"/>
  <c r="A368" i="13"/>
  <c r="F368" i="13"/>
  <c r="H368" i="13"/>
  <c r="A369" i="13"/>
  <c r="F369" i="13"/>
  <c r="H369" i="13"/>
  <c r="A370" i="13"/>
  <c r="E370" i="13"/>
  <c r="F370" i="13" s="1"/>
  <c r="G370" i="13"/>
  <c r="H370" i="13" s="1"/>
  <c r="A371" i="13"/>
  <c r="E371" i="13"/>
  <c r="I371" i="13" s="1"/>
  <c r="J371" i="13" s="1"/>
  <c r="F371" i="13"/>
  <c r="G371" i="13"/>
  <c r="H371" i="13" s="1"/>
  <c r="A372" i="13"/>
  <c r="E372" i="13"/>
  <c r="F372" i="13" s="1"/>
  <c r="G372" i="13"/>
  <c r="H372" i="13" s="1"/>
  <c r="A373" i="13"/>
  <c r="F373" i="13"/>
  <c r="G373" i="13"/>
  <c r="I373" i="13" s="1"/>
  <c r="J373" i="13" s="1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F506" i="6"/>
  <c r="F507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C220" i="6"/>
  <c r="A21" i="13"/>
  <c r="E21" i="13"/>
  <c r="F21" i="13" s="1"/>
  <c r="G21" i="13"/>
  <c r="H21" i="13" s="1"/>
  <c r="A22" i="13"/>
  <c r="F22" i="13"/>
  <c r="H22" i="13"/>
  <c r="A23" i="13"/>
  <c r="E23" i="13"/>
  <c r="F23" i="13" s="1"/>
  <c r="G23" i="13"/>
  <c r="H23" i="13" s="1"/>
  <c r="F24" i="13"/>
  <c r="H24" i="13"/>
  <c r="E25" i="13"/>
  <c r="F25" i="13" s="1"/>
  <c r="G25" i="13"/>
  <c r="H25" i="13" s="1"/>
  <c r="F26" i="13"/>
  <c r="H26" i="13"/>
  <c r="A27" i="13"/>
  <c r="F27" i="13"/>
  <c r="H27" i="13"/>
  <c r="A28" i="13"/>
  <c r="E28" i="13"/>
  <c r="F28" i="13" s="1"/>
  <c r="G28" i="13"/>
  <c r="H28" i="13" s="1"/>
  <c r="A29" i="13"/>
  <c r="F29" i="13"/>
  <c r="G29" i="13"/>
  <c r="I29" i="13" s="1"/>
  <c r="J29" i="13" s="1"/>
  <c r="A30" i="13"/>
  <c r="F30" i="13"/>
  <c r="G30" i="13"/>
  <c r="I30" i="13" s="1"/>
  <c r="J30" i="13" s="1"/>
  <c r="A31" i="13"/>
  <c r="F31" i="13"/>
  <c r="G31" i="13"/>
  <c r="I31" i="13" s="1"/>
  <c r="J31" i="13" s="1"/>
  <c r="A32" i="13"/>
  <c r="F32" i="13"/>
  <c r="G32" i="13"/>
  <c r="I32" i="13" s="1"/>
  <c r="J32" i="13" s="1"/>
  <c r="A33" i="13"/>
  <c r="F33" i="13"/>
  <c r="H33" i="13"/>
  <c r="A34" i="13"/>
  <c r="F34" i="13"/>
  <c r="H34" i="13"/>
  <c r="A35" i="13"/>
  <c r="F35" i="13"/>
  <c r="G35" i="13"/>
  <c r="I35" i="13" s="1"/>
  <c r="J35" i="13" s="1"/>
  <c r="A36" i="13"/>
  <c r="F36" i="13"/>
  <c r="G36" i="13"/>
  <c r="H36" i="13" s="1"/>
  <c r="A37" i="13"/>
  <c r="F37" i="13"/>
  <c r="G37" i="13"/>
  <c r="I37" i="13" s="1"/>
  <c r="J37" i="13" s="1"/>
  <c r="A38" i="13"/>
  <c r="F38" i="13"/>
  <c r="G38" i="13"/>
  <c r="H38" i="13" s="1"/>
  <c r="A39" i="13"/>
  <c r="F39" i="13"/>
  <c r="G39" i="13"/>
  <c r="I39" i="13" s="1"/>
  <c r="J39" i="13" s="1"/>
  <c r="A40" i="13"/>
  <c r="F40" i="13"/>
  <c r="G40" i="13"/>
  <c r="H40" i="13" s="1"/>
  <c r="A41" i="13"/>
  <c r="F41" i="13"/>
  <c r="H41" i="13"/>
  <c r="A42" i="13"/>
  <c r="F42" i="13"/>
  <c r="H42" i="13"/>
  <c r="A43" i="13"/>
  <c r="F43" i="13"/>
  <c r="G43" i="13"/>
  <c r="H43" i="13" s="1"/>
  <c r="A44" i="13"/>
  <c r="F44" i="13"/>
  <c r="G44" i="13"/>
  <c r="I44" i="13" s="1"/>
  <c r="J44" i="13" s="1"/>
  <c r="A45" i="13"/>
  <c r="F45" i="13"/>
  <c r="G45" i="13"/>
  <c r="H45" i="13" s="1"/>
  <c r="A46" i="13"/>
  <c r="F46" i="13"/>
  <c r="G46" i="13"/>
  <c r="I46" i="13" s="1"/>
  <c r="J46" i="13" s="1"/>
  <c r="A47" i="13"/>
  <c r="F47" i="13"/>
  <c r="G47" i="13"/>
  <c r="I47" i="13" s="1"/>
  <c r="J47" i="13" s="1"/>
  <c r="A48" i="13"/>
  <c r="F48" i="13"/>
  <c r="H48" i="13"/>
  <c r="A49" i="13"/>
  <c r="F49" i="13"/>
  <c r="H49" i="13"/>
  <c r="A50" i="13"/>
  <c r="E50" i="13"/>
  <c r="F50" i="13" s="1"/>
  <c r="G50" i="13"/>
  <c r="H50" i="13" s="1"/>
  <c r="G51" i="13"/>
  <c r="H51" i="13" s="1"/>
  <c r="A465" i="6"/>
  <c r="A466" i="6"/>
  <c r="A467" i="6"/>
  <c r="A468" i="6"/>
  <c r="C468" i="6"/>
  <c r="F468" i="6" s="1"/>
  <c r="G468" i="6"/>
  <c r="I468" i="6"/>
  <c r="A470" i="6"/>
  <c r="C470" i="6"/>
  <c r="F470" i="6" s="1"/>
  <c r="G470" i="6"/>
  <c r="I470" i="6"/>
  <c r="A472" i="6"/>
  <c r="F472" i="6"/>
  <c r="H472" i="6"/>
  <c r="J472" i="6"/>
  <c r="A473" i="6"/>
  <c r="G423" i="13"/>
  <c r="A423" i="13"/>
  <c r="G422" i="13"/>
  <c r="B422" i="13"/>
  <c r="A422" i="13"/>
  <c r="G421" i="13"/>
  <c r="A421" i="13"/>
  <c r="G420" i="13"/>
  <c r="A420" i="13"/>
  <c r="G419" i="13"/>
  <c r="H419" i="13" s="1"/>
  <c r="H422" i="13" s="1"/>
  <c r="E22" i="12" s="1"/>
  <c r="E419" i="13"/>
  <c r="F419" i="13" s="1"/>
  <c r="F422" i="13" s="1"/>
  <c r="D22" i="12" s="1"/>
  <c r="A419" i="13"/>
  <c r="G418" i="13"/>
  <c r="A418" i="13"/>
  <c r="G417" i="13"/>
  <c r="A417" i="13"/>
  <c r="G416" i="13"/>
  <c r="B416" i="13"/>
  <c r="A416" i="13"/>
  <c r="G415" i="13"/>
  <c r="A415" i="13"/>
  <c r="G414" i="13"/>
  <c r="H414" i="13" s="1"/>
  <c r="E414" i="13"/>
  <c r="A414" i="13"/>
  <c r="G413" i="13"/>
  <c r="H413" i="13" s="1"/>
  <c r="E413" i="13"/>
  <c r="A413" i="13"/>
  <c r="G412" i="13"/>
  <c r="H412" i="13" s="1"/>
  <c r="E412" i="13"/>
  <c r="F412" i="13" s="1"/>
  <c r="A412" i="13"/>
  <c r="G411" i="13"/>
  <c r="H411" i="13" s="1"/>
  <c r="E411" i="13"/>
  <c r="A411" i="13"/>
  <c r="G410" i="13"/>
  <c r="H410" i="13" s="1"/>
  <c r="E410" i="13"/>
  <c r="F410" i="13" s="1"/>
  <c r="A410" i="13"/>
  <c r="H409" i="13"/>
  <c r="F409" i="13"/>
  <c r="A409" i="13"/>
  <c r="H408" i="13"/>
  <c r="F408" i="13"/>
  <c r="A408" i="13"/>
  <c r="G407" i="13"/>
  <c r="H407" i="13" s="1"/>
  <c r="E407" i="13"/>
  <c r="F407" i="13" s="1"/>
  <c r="A407" i="13"/>
  <c r="H406" i="13"/>
  <c r="F406" i="13"/>
  <c r="A406" i="13"/>
  <c r="H405" i="13"/>
  <c r="F405" i="13"/>
  <c r="A405" i="13"/>
  <c r="G404" i="13"/>
  <c r="H404" i="13" s="1"/>
  <c r="E404" i="13"/>
  <c r="F404" i="13" s="1"/>
  <c r="A404" i="13"/>
  <c r="G403" i="13"/>
  <c r="H403" i="13" s="1"/>
  <c r="E403" i="13"/>
  <c r="A403" i="13"/>
  <c r="G402" i="13"/>
  <c r="E402" i="13"/>
  <c r="F402" i="13" s="1"/>
  <c r="A402" i="13"/>
  <c r="G401" i="13"/>
  <c r="H401" i="13" s="1"/>
  <c r="E401" i="13"/>
  <c r="F401" i="13" s="1"/>
  <c r="A401" i="13"/>
  <c r="G400" i="13"/>
  <c r="H400" i="13" s="1"/>
  <c r="E400" i="13"/>
  <c r="A400" i="13"/>
  <c r="H399" i="13"/>
  <c r="F399" i="13"/>
  <c r="A399" i="13"/>
  <c r="H398" i="13"/>
  <c r="F398" i="13"/>
  <c r="A398" i="13"/>
  <c r="G397" i="13"/>
  <c r="H397" i="13" s="1"/>
  <c r="E397" i="13"/>
  <c r="A397" i="13"/>
  <c r="G396" i="13"/>
  <c r="H396" i="13" s="1"/>
  <c r="E396" i="13"/>
  <c r="F396" i="13" s="1"/>
  <c r="A396" i="13"/>
  <c r="G395" i="13"/>
  <c r="H395" i="13" s="1"/>
  <c r="E395" i="13"/>
  <c r="A395" i="13"/>
  <c r="G394" i="13"/>
  <c r="E394" i="13"/>
  <c r="F394" i="13" s="1"/>
  <c r="A394" i="13"/>
  <c r="G393" i="13"/>
  <c r="H393" i="13" s="1"/>
  <c r="E393" i="13"/>
  <c r="F393" i="13" s="1"/>
  <c r="A393" i="13"/>
  <c r="G392" i="13"/>
  <c r="H392" i="13" s="1"/>
  <c r="E392" i="13"/>
  <c r="F392" i="13" s="1"/>
  <c r="A392" i="13"/>
  <c r="G391" i="13"/>
  <c r="E391" i="13"/>
  <c r="F391" i="13" s="1"/>
  <c r="A391" i="13"/>
  <c r="G390" i="13"/>
  <c r="H390" i="13" s="1"/>
  <c r="E390" i="13"/>
  <c r="A390" i="13"/>
  <c r="G389" i="13"/>
  <c r="H389" i="13" s="1"/>
  <c r="E389" i="13"/>
  <c r="A389" i="13"/>
  <c r="G388" i="13"/>
  <c r="H388" i="13" s="1"/>
  <c r="E388" i="13"/>
  <c r="F388" i="13" s="1"/>
  <c r="A388" i="13"/>
  <c r="H387" i="13"/>
  <c r="F387" i="13"/>
  <c r="A387" i="13"/>
  <c r="H386" i="13"/>
  <c r="F386" i="13"/>
  <c r="A386" i="13"/>
  <c r="G385" i="13"/>
  <c r="H385" i="13" s="1"/>
  <c r="E385" i="13"/>
  <c r="F385" i="13" s="1"/>
  <c r="A385" i="13"/>
  <c r="G384" i="13"/>
  <c r="H384" i="13" s="1"/>
  <c r="E384" i="13"/>
  <c r="F384" i="13" s="1"/>
  <c r="A384" i="13"/>
  <c r="H383" i="13"/>
  <c r="F383" i="13"/>
  <c r="A383" i="13"/>
  <c r="H382" i="13"/>
  <c r="F382" i="13"/>
  <c r="A382" i="13"/>
  <c r="G381" i="13"/>
  <c r="E381" i="13"/>
  <c r="F381" i="13" s="1"/>
  <c r="A381" i="13"/>
  <c r="G380" i="13"/>
  <c r="H380" i="13" s="1"/>
  <c r="E380" i="13"/>
  <c r="F380" i="13" s="1"/>
  <c r="A380" i="13"/>
  <c r="A379" i="13"/>
  <c r="G378" i="13"/>
  <c r="A378" i="13"/>
  <c r="G377" i="13"/>
  <c r="A377" i="13"/>
  <c r="G376" i="13"/>
  <c r="A376" i="13"/>
  <c r="G375" i="13"/>
  <c r="B375" i="13"/>
  <c r="A375" i="13"/>
  <c r="G374" i="13"/>
  <c r="A374" i="13"/>
  <c r="G272" i="13"/>
  <c r="A272" i="13"/>
  <c r="G271" i="13"/>
  <c r="A271" i="13"/>
  <c r="G270" i="13"/>
  <c r="A270" i="13"/>
  <c r="J269" i="13"/>
  <c r="F19" i="12" s="1"/>
  <c r="M19" i="12" s="1"/>
  <c r="H269" i="13"/>
  <c r="E19" i="12" s="1"/>
  <c r="G269" i="13"/>
  <c r="F269" i="13"/>
  <c r="D19" i="12" s="1"/>
  <c r="B269" i="13"/>
  <c r="A269" i="13"/>
  <c r="G268" i="13"/>
  <c r="A268" i="13"/>
  <c r="G267" i="13"/>
  <c r="A267" i="13"/>
  <c r="G266" i="13"/>
  <c r="A266" i="13"/>
  <c r="G265" i="13"/>
  <c r="A265" i="13"/>
  <c r="G264" i="13"/>
  <c r="B264" i="13"/>
  <c r="A264" i="13"/>
  <c r="G263" i="13"/>
  <c r="A263" i="13"/>
  <c r="G262" i="13"/>
  <c r="H262" i="13" s="1"/>
  <c r="E262" i="13"/>
  <c r="A262" i="13"/>
  <c r="G261" i="13"/>
  <c r="H261" i="13" s="1"/>
  <c r="E261" i="13"/>
  <c r="F261" i="13" s="1"/>
  <c r="A261" i="13"/>
  <c r="G260" i="13"/>
  <c r="H260" i="13" s="1"/>
  <c r="F260" i="13"/>
  <c r="A260" i="13"/>
  <c r="G259" i="13"/>
  <c r="H259" i="13" s="1"/>
  <c r="E259" i="13"/>
  <c r="A259" i="13"/>
  <c r="G258" i="13"/>
  <c r="H258" i="13" s="1"/>
  <c r="E258" i="13"/>
  <c r="F258" i="13" s="1"/>
  <c r="A258" i="13"/>
  <c r="G257" i="13"/>
  <c r="H257" i="13" s="1"/>
  <c r="E257" i="13"/>
  <c r="A257" i="13"/>
  <c r="H256" i="13"/>
  <c r="F256" i="13"/>
  <c r="A256" i="13"/>
  <c r="H255" i="13"/>
  <c r="F255" i="13"/>
  <c r="A255" i="13"/>
  <c r="G254" i="13"/>
  <c r="H254" i="13" s="1"/>
  <c r="E254" i="13"/>
  <c r="A254" i="13"/>
  <c r="H253" i="13"/>
  <c r="F253" i="13"/>
  <c r="A253" i="13"/>
  <c r="G252" i="13"/>
  <c r="H252" i="13" s="1"/>
  <c r="E252" i="13"/>
  <c r="A252" i="13"/>
  <c r="H251" i="13"/>
  <c r="F251" i="13"/>
  <c r="A251" i="13"/>
  <c r="G250" i="13"/>
  <c r="H250" i="13" s="1"/>
  <c r="E250" i="13"/>
  <c r="F250" i="13" s="1"/>
  <c r="A250" i="13"/>
  <c r="G249" i="13"/>
  <c r="E249" i="13"/>
  <c r="F249" i="13" s="1"/>
  <c r="A249" i="13"/>
  <c r="G248" i="13"/>
  <c r="H248" i="13" s="1"/>
  <c r="E248" i="13"/>
  <c r="A248" i="13"/>
  <c r="H247" i="13"/>
  <c r="F247" i="13"/>
  <c r="A247" i="13"/>
  <c r="G246" i="13"/>
  <c r="E246" i="13"/>
  <c r="F246" i="13" s="1"/>
  <c r="A246" i="13"/>
  <c r="G245" i="13"/>
  <c r="E245" i="13"/>
  <c r="F245" i="13" s="1"/>
  <c r="A245" i="13"/>
  <c r="G244" i="13"/>
  <c r="H244" i="13" s="1"/>
  <c r="E244" i="13"/>
  <c r="A244" i="13"/>
  <c r="G243" i="13"/>
  <c r="H243" i="13" s="1"/>
  <c r="E243" i="13"/>
  <c r="F243" i="13" s="1"/>
  <c r="A243" i="13"/>
  <c r="G242" i="13"/>
  <c r="H242" i="13" s="1"/>
  <c r="E242" i="13"/>
  <c r="A242" i="13"/>
  <c r="H241" i="13"/>
  <c r="F241" i="13"/>
  <c r="A241" i="13"/>
  <c r="G240" i="13"/>
  <c r="I240" i="13" s="1"/>
  <c r="J240" i="13" s="1"/>
  <c r="F240" i="13"/>
  <c r="A240" i="13"/>
  <c r="G239" i="13"/>
  <c r="I239" i="13" s="1"/>
  <c r="J239" i="13" s="1"/>
  <c r="F239" i="13"/>
  <c r="A239" i="13"/>
  <c r="H238" i="13"/>
  <c r="F238" i="13"/>
  <c r="A238" i="13"/>
  <c r="H237" i="13"/>
  <c r="F237" i="13"/>
  <c r="A237" i="13"/>
  <c r="G236" i="13"/>
  <c r="H236" i="13" s="1"/>
  <c r="E236" i="13"/>
  <c r="F236" i="13" s="1"/>
  <c r="A236" i="13"/>
  <c r="G235" i="13"/>
  <c r="H235" i="13" s="1"/>
  <c r="E235" i="13"/>
  <c r="A235" i="13"/>
  <c r="G234" i="13"/>
  <c r="E234" i="13"/>
  <c r="F234" i="13" s="1"/>
  <c r="A234" i="13"/>
  <c r="G233" i="13"/>
  <c r="H233" i="13" s="1"/>
  <c r="E233" i="13"/>
  <c r="F233" i="13" s="1"/>
  <c r="A233" i="13"/>
  <c r="G232" i="13"/>
  <c r="H232" i="13" s="1"/>
  <c r="E232" i="13"/>
  <c r="F232" i="13" s="1"/>
  <c r="A232" i="13"/>
  <c r="G231" i="13"/>
  <c r="H231" i="13" s="1"/>
  <c r="E231" i="13"/>
  <c r="A231" i="13"/>
  <c r="G230" i="13"/>
  <c r="H230" i="13" s="1"/>
  <c r="E230" i="13"/>
  <c r="A230" i="13"/>
  <c r="G229" i="13"/>
  <c r="E229" i="13"/>
  <c r="F229" i="13" s="1"/>
  <c r="A229" i="13"/>
  <c r="G228" i="13"/>
  <c r="H228" i="13" s="1"/>
  <c r="E228" i="13"/>
  <c r="A228" i="13"/>
  <c r="G227" i="13"/>
  <c r="H227" i="13" s="1"/>
  <c r="E227" i="13"/>
  <c r="F227" i="13" s="1"/>
  <c r="A227" i="13"/>
  <c r="G226" i="13"/>
  <c r="H226" i="13" s="1"/>
  <c r="E226" i="13"/>
  <c r="A226" i="13"/>
  <c r="G225" i="13"/>
  <c r="H225" i="13" s="1"/>
  <c r="E225" i="13"/>
  <c r="A225" i="13"/>
  <c r="H224" i="13"/>
  <c r="F224" i="13"/>
  <c r="A224" i="13"/>
  <c r="G223" i="13"/>
  <c r="H223" i="13" s="1"/>
  <c r="E223" i="13"/>
  <c r="F223" i="13" s="1"/>
  <c r="A223" i="13"/>
  <c r="G222" i="13"/>
  <c r="H222" i="13" s="1"/>
  <c r="E222" i="13"/>
  <c r="A222" i="13"/>
  <c r="G221" i="13"/>
  <c r="H221" i="13" s="1"/>
  <c r="E221" i="13"/>
  <c r="F221" i="13" s="1"/>
  <c r="A221" i="13"/>
  <c r="H220" i="13"/>
  <c r="F220" i="13"/>
  <c r="A220" i="13"/>
  <c r="H219" i="13"/>
  <c r="F219" i="13"/>
  <c r="A219" i="13"/>
  <c r="G218" i="13"/>
  <c r="I218" i="13" s="1"/>
  <c r="J218" i="13" s="1"/>
  <c r="F218" i="13"/>
  <c r="A218" i="13"/>
  <c r="G217" i="13"/>
  <c r="I217" i="13" s="1"/>
  <c r="J217" i="13" s="1"/>
  <c r="F217" i="13"/>
  <c r="A217" i="13"/>
  <c r="H216" i="13"/>
  <c r="F216" i="13"/>
  <c r="A216" i="13"/>
  <c r="H215" i="13"/>
  <c r="F215" i="13"/>
  <c r="A215" i="13"/>
  <c r="G214" i="13"/>
  <c r="H214" i="13" s="1"/>
  <c r="E214" i="13"/>
  <c r="F214" i="13" s="1"/>
  <c r="A214" i="13"/>
  <c r="G213" i="13"/>
  <c r="H213" i="13" s="1"/>
  <c r="E213" i="13"/>
  <c r="A213" i="13"/>
  <c r="G212" i="13"/>
  <c r="E212" i="13"/>
  <c r="F212" i="13" s="1"/>
  <c r="A212" i="13"/>
  <c r="G211" i="13"/>
  <c r="H211" i="13" s="1"/>
  <c r="E211" i="13"/>
  <c r="A211" i="13"/>
  <c r="G210" i="13"/>
  <c r="I210" i="13" s="1"/>
  <c r="J210" i="13" s="1"/>
  <c r="F210" i="13"/>
  <c r="A210" i="13"/>
  <c r="H209" i="13"/>
  <c r="F209" i="13"/>
  <c r="A209" i="13"/>
  <c r="G208" i="13"/>
  <c r="H208" i="13" s="1"/>
  <c r="E208" i="13"/>
  <c r="A208" i="13"/>
  <c r="G207" i="13"/>
  <c r="H207" i="13" s="1"/>
  <c r="E207" i="13"/>
  <c r="A207" i="13"/>
  <c r="G206" i="13"/>
  <c r="H206" i="13" s="1"/>
  <c r="E206" i="13"/>
  <c r="A206" i="13"/>
  <c r="G205" i="13"/>
  <c r="H205" i="13" s="1"/>
  <c r="E205" i="13"/>
  <c r="A205" i="13"/>
  <c r="G204" i="13"/>
  <c r="I204" i="13" s="1"/>
  <c r="J204" i="13" s="1"/>
  <c r="F204" i="13"/>
  <c r="A204" i="13"/>
  <c r="G203" i="13"/>
  <c r="H203" i="13" s="1"/>
  <c r="F203" i="13"/>
  <c r="A203" i="13"/>
  <c r="G202" i="13"/>
  <c r="I202" i="13" s="1"/>
  <c r="J202" i="13" s="1"/>
  <c r="F202" i="13"/>
  <c r="A202" i="13"/>
  <c r="H201" i="13"/>
  <c r="F201" i="13"/>
  <c r="A201" i="13"/>
  <c r="G200" i="13"/>
  <c r="E200" i="13"/>
  <c r="F200" i="13" s="1"/>
  <c r="A200" i="13"/>
  <c r="G199" i="13"/>
  <c r="H199" i="13" s="1"/>
  <c r="E199" i="13"/>
  <c r="A199" i="13"/>
  <c r="G198" i="13"/>
  <c r="I198" i="13" s="1"/>
  <c r="J198" i="13" s="1"/>
  <c r="F198" i="13"/>
  <c r="A198" i="13"/>
  <c r="H197" i="13"/>
  <c r="F197" i="13"/>
  <c r="A197" i="13"/>
  <c r="G196" i="13"/>
  <c r="H196" i="13" s="1"/>
  <c r="E196" i="13"/>
  <c r="A196" i="13"/>
  <c r="G195" i="13"/>
  <c r="H195" i="13" s="1"/>
  <c r="E195" i="13"/>
  <c r="F195" i="13" s="1"/>
  <c r="A195" i="13"/>
  <c r="G194" i="13"/>
  <c r="E194" i="13"/>
  <c r="F194" i="13" s="1"/>
  <c r="A194" i="13"/>
  <c r="G193" i="13"/>
  <c r="H193" i="13" s="1"/>
  <c r="E193" i="13"/>
  <c r="F193" i="13" s="1"/>
  <c r="A193" i="13"/>
  <c r="G192" i="13"/>
  <c r="H192" i="13" s="1"/>
  <c r="E192" i="13"/>
  <c r="A192" i="13"/>
  <c r="G191" i="13"/>
  <c r="I191" i="13" s="1"/>
  <c r="J191" i="13" s="1"/>
  <c r="F191" i="13"/>
  <c r="A191" i="13"/>
  <c r="G190" i="13"/>
  <c r="I190" i="13" s="1"/>
  <c r="J190" i="13" s="1"/>
  <c r="F190" i="13"/>
  <c r="A190" i="13"/>
  <c r="G189" i="13"/>
  <c r="I189" i="13" s="1"/>
  <c r="J189" i="13" s="1"/>
  <c r="F189" i="13"/>
  <c r="A189" i="13"/>
  <c r="G188" i="13"/>
  <c r="I188" i="13" s="1"/>
  <c r="J188" i="13" s="1"/>
  <c r="F188" i="13"/>
  <c r="A188" i="13"/>
  <c r="A187" i="13"/>
  <c r="G186" i="13"/>
  <c r="A186" i="13"/>
  <c r="G185" i="13"/>
  <c r="A185" i="13"/>
  <c r="G184" i="13"/>
  <c r="A184" i="13"/>
  <c r="J183" i="13"/>
  <c r="F17" i="12" s="1"/>
  <c r="M17" i="12" s="1"/>
  <c r="H183" i="13"/>
  <c r="E17" i="12" s="1"/>
  <c r="G183" i="13"/>
  <c r="F183" i="13"/>
  <c r="D17" i="12" s="1"/>
  <c r="B183" i="13"/>
  <c r="A183" i="13"/>
  <c r="G182" i="13"/>
  <c r="A182" i="13"/>
  <c r="G181" i="13"/>
  <c r="A181" i="13"/>
  <c r="G180" i="13"/>
  <c r="A180" i="13"/>
  <c r="G179" i="13"/>
  <c r="A179" i="13"/>
  <c r="G178" i="13"/>
  <c r="B178" i="13"/>
  <c r="A178" i="13"/>
  <c r="G177" i="13"/>
  <c r="A177" i="13"/>
  <c r="G176" i="13"/>
  <c r="H176" i="13" s="1"/>
  <c r="E176" i="13"/>
  <c r="A176" i="13"/>
  <c r="H175" i="13"/>
  <c r="F175" i="13"/>
  <c r="A175" i="13"/>
  <c r="G174" i="13"/>
  <c r="H174" i="13" s="1"/>
  <c r="E174" i="13"/>
  <c r="A174" i="13"/>
  <c r="G173" i="13"/>
  <c r="H173" i="13" s="1"/>
  <c r="E173" i="13"/>
  <c r="F173" i="13" s="1"/>
  <c r="A173" i="13"/>
  <c r="G172" i="13"/>
  <c r="H172" i="13" s="1"/>
  <c r="E172" i="13"/>
  <c r="A172" i="13"/>
  <c r="G171" i="13"/>
  <c r="H171" i="13" s="1"/>
  <c r="E171" i="13"/>
  <c r="F171" i="13" s="1"/>
  <c r="A171" i="13"/>
  <c r="G170" i="13"/>
  <c r="H170" i="13" s="1"/>
  <c r="E170" i="13"/>
  <c r="A170" i="13"/>
  <c r="H169" i="13"/>
  <c r="F169" i="13"/>
  <c r="A169" i="13"/>
  <c r="H168" i="13"/>
  <c r="F168" i="13"/>
  <c r="A168" i="13"/>
  <c r="H167" i="13"/>
  <c r="F167" i="13"/>
  <c r="A167" i="13"/>
  <c r="G166" i="13"/>
  <c r="H166" i="13" s="1"/>
  <c r="E166" i="13"/>
  <c r="A166" i="13"/>
  <c r="G165" i="13"/>
  <c r="H165" i="13" s="1"/>
  <c r="E165" i="13"/>
  <c r="A165" i="13"/>
  <c r="G164" i="13"/>
  <c r="H164" i="13" s="1"/>
  <c r="E164" i="13"/>
  <c r="A164" i="13"/>
  <c r="G163" i="13"/>
  <c r="H163" i="13" s="1"/>
  <c r="E163" i="13"/>
  <c r="F163" i="13" s="1"/>
  <c r="A163" i="13"/>
  <c r="G162" i="13"/>
  <c r="H162" i="13" s="1"/>
  <c r="E162" i="13"/>
  <c r="A162" i="13"/>
  <c r="H161" i="13"/>
  <c r="F161" i="13"/>
  <c r="A161" i="13"/>
  <c r="H160" i="13"/>
  <c r="F160" i="13"/>
  <c r="A160" i="13"/>
  <c r="H159" i="13"/>
  <c r="F159" i="13"/>
  <c r="A159" i="13"/>
  <c r="G158" i="13"/>
  <c r="H158" i="13" s="1"/>
  <c r="E158" i="13"/>
  <c r="F158" i="13" s="1"/>
  <c r="A158" i="13"/>
  <c r="H157" i="13"/>
  <c r="F157" i="13"/>
  <c r="A157" i="13"/>
  <c r="H156" i="13"/>
  <c r="F156" i="13"/>
  <c r="A156" i="13"/>
  <c r="G155" i="13"/>
  <c r="H155" i="13" s="1"/>
  <c r="E155" i="13"/>
  <c r="F155" i="13" s="1"/>
  <c r="A155" i="13"/>
  <c r="G154" i="13"/>
  <c r="H154" i="13" s="1"/>
  <c r="E154" i="13"/>
  <c r="A154" i="13"/>
  <c r="H153" i="13"/>
  <c r="F153" i="13"/>
  <c r="A153" i="13"/>
  <c r="H152" i="13"/>
  <c r="F152" i="13"/>
  <c r="A152" i="13"/>
  <c r="H151" i="13"/>
  <c r="F151" i="13"/>
  <c r="A151" i="13"/>
  <c r="G150" i="13"/>
  <c r="H150" i="13" s="1"/>
  <c r="E150" i="13"/>
  <c r="F150" i="13" s="1"/>
  <c r="A150" i="13"/>
  <c r="G149" i="13"/>
  <c r="E149" i="13"/>
  <c r="F149" i="13" s="1"/>
  <c r="A149" i="13"/>
  <c r="G148" i="13"/>
  <c r="H148" i="13" s="1"/>
  <c r="E148" i="13"/>
  <c r="A148" i="13"/>
  <c r="G147" i="13"/>
  <c r="H147" i="13" s="1"/>
  <c r="E147" i="13"/>
  <c r="F147" i="13" s="1"/>
  <c r="A147" i="13"/>
  <c r="G146" i="13"/>
  <c r="H146" i="13" s="1"/>
  <c r="F146" i="13"/>
  <c r="A146" i="13"/>
  <c r="G145" i="13"/>
  <c r="H145" i="13" s="1"/>
  <c r="F145" i="13"/>
  <c r="A145" i="13"/>
  <c r="H144" i="13"/>
  <c r="F144" i="13"/>
  <c r="A144" i="13"/>
  <c r="H143" i="13"/>
  <c r="F143" i="13"/>
  <c r="A143" i="13"/>
  <c r="H142" i="13"/>
  <c r="F142" i="13"/>
  <c r="A142" i="13"/>
  <c r="G141" i="13"/>
  <c r="H141" i="13" s="1"/>
  <c r="E141" i="13"/>
  <c r="F141" i="13" s="1"/>
  <c r="A141" i="13"/>
  <c r="H140" i="13"/>
  <c r="F140" i="13"/>
  <c r="A140" i="13"/>
  <c r="G139" i="13"/>
  <c r="H139" i="13" s="1"/>
  <c r="E139" i="13"/>
  <c r="A139" i="13"/>
  <c r="H138" i="13"/>
  <c r="F138" i="13"/>
  <c r="A138" i="13"/>
  <c r="G137" i="13"/>
  <c r="E137" i="13"/>
  <c r="F137" i="13" s="1"/>
  <c r="A137" i="13"/>
  <c r="G136" i="13"/>
  <c r="H136" i="13" s="1"/>
  <c r="E136" i="13"/>
  <c r="A136" i="13"/>
  <c r="G135" i="13"/>
  <c r="H135" i="13" s="1"/>
  <c r="E135" i="13"/>
  <c r="A135" i="13"/>
  <c r="H134" i="13"/>
  <c r="F134" i="13"/>
  <c r="A134" i="13"/>
  <c r="G133" i="13"/>
  <c r="H133" i="13" s="1"/>
  <c r="E133" i="13"/>
  <c r="F133" i="13" s="1"/>
  <c r="A133" i="13"/>
  <c r="G132" i="13"/>
  <c r="H132" i="13" s="1"/>
  <c r="E132" i="13"/>
  <c r="A132" i="13"/>
  <c r="G131" i="13"/>
  <c r="H131" i="13" s="1"/>
  <c r="E131" i="13"/>
  <c r="A131" i="13"/>
  <c r="H130" i="13"/>
  <c r="F130" i="13"/>
  <c r="A130" i="13"/>
  <c r="N129" i="13"/>
  <c r="G129" i="13" s="1"/>
  <c r="H129" i="13" s="1"/>
  <c r="M129" i="13"/>
  <c r="E129" i="13" s="1"/>
  <c r="A129" i="13"/>
  <c r="H128" i="13"/>
  <c r="F128" i="13"/>
  <c r="A128" i="13"/>
  <c r="G127" i="13"/>
  <c r="H127" i="13" s="1"/>
  <c r="E127" i="13"/>
  <c r="F127" i="13" s="1"/>
  <c r="A127" i="13"/>
  <c r="G126" i="13"/>
  <c r="E126" i="13"/>
  <c r="F126" i="13" s="1"/>
  <c r="A126" i="13"/>
  <c r="G125" i="13"/>
  <c r="H125" i="13" s="1"/>
  <c r="E125" i="13"/>
  <c r="A125" i="13"/>
  <c r="G124" i="13"/>
  <c r="H124" i="13" s="1"/>
  <c r="E124" i="13"/>
  <c r="A124" i="13"/>
  <c r="G123" i="13"/>
  <c r="H123" i="13" s="1"/>
  <c r="E123" i="13"/>
  <c r="F123" i="13" s="1"/>
  <c r="A123" i="13"/>
  <c r="G122" i="13"/>
  <c r="H122" i="13" s="1"/>
  <c r="E122" i="13"/>
  <c r="F122" i="13" s="1"/>
  <c r="A122" i="13"/>
  <c r="G121" i="13"/>
  <c r="E121" i="13"/>
  <c r="F121" i="13" s="1"/>
  <c r="A121" i="13"/>
  <c r="G120" i="13"/>
  <c r="E120" i="13"/>
  <c r="F120" i="13" s="1"/>
  <c r="A120" i="13"/>
  <c r="A119" i="13"/>
  <c r="G118" i="13"/>
  <c r="A118" i="13"/>
  <c r="G117" i="13"/>
  <c r="A117" i="13"/>
  <c r="G116" i="13"/>
  <c r="A116" i="13"/>
  <c r="G115" i="13"/>
  <c r="B115" i="13"/>
  <c r="A115" i="13"/>
  <c r="G114" i="13"/>
  <c r="A114" i="13"/>
  <c r="G113" i="13"/>
  <c r="H113" i="13" s="1"/>
  <c r="E113" i="13"/>
  <c r="F113" i="13" s="1"/>
  <c r="A113" i="13"/>
  <c r="H112" i="13"/>
  <c r="F112" i="13"/>
  <c r="A112" i="13"/>
  <c r="G111" i="13"/>
  <c r="H111" i="13" s="1"/>
  <c r="E111" i="13"/>
  <c r="A111" i="13"/>
  <c r="G110" i="13"/>
  <c r="H110" i="13" s="1"/>
  <c r="E110" i="13"/>
  <c r="F110" i="13" s="1"/>
  <c r="A110" i="13"/>
  <c r="G109" i="13"/>
  <c r="H109" i="13" s="1"/>
  <c r="E109" i="13"/>
  <c r="A109" i="13"/>
  <c r="G108" i="13"/>
  <c r="H108" i="13" s="1"/>
  <c r="E108" i="13"/>
  <c r="F108" i="13" s="1"/>
  <c r="A108" i="13"/>
  <c r="H107" i="13"/>
  <c r="F107" i="13"/>
  <c r="A107" i="13"/>
  <c r="G106" i="13"/>
  <c r="H106" i="13" s="1"/>
  <c r="E106" i="13"/>
  <c r="A106" i="13"/>
  <c r="G105" i="13"/>
  <c r="H105" i="13" s="1"/>
  <c r="E105" i="13"/>
  <c r="A105" i="13"/>
  <c r="H104" i="13"/>
  <c r="F104" i="13"/>
  <c r="A104" i="13"/>
  <c r="G103" i="13"/>
  <c r="H103" i="13" s="1"/>
  <c r="E103" i="13"/>
  <c r="A103" i="13"/>
  <c r="G102" i="13"/>
  <c r="H102" i="13" s="1"/>
  <c r="E102" i="13"/>
  <c r="A102" i="13"/>
  <c r="G101" i="13"/>
  <c r="H101" i="13" s="1"/>
  <c r="E101" i="13"/>
  <c r="A101" i="13"/>
  <c r="G100" i="13"/>
  <c r="H100" i="13" s="1"/>
  <c r="E100" i="13"/>
  <c r="A100" i="13"/>
  <c r="H99" i="13"/>
  <c r="F99" i="13"/>
  <c r="A99" i="13"/>
  <c r="H98" i="13"/>
  <c r="F98" i="13"/>
  <c r="A98" i="13"/>
  <c r="G97" i="13"/>
  <c r="E97" i="13"/>
  <c r="F97" i="13" s="1"/>
  <c r="A97" i="13"/>
  <c r="G96" i="13"/>
  <c r="H96" i="13" s="1"/>
  <c r="E96" i="13"/>
  <c r="A96" i="13"/>
  <c r="H95" i="13"/>
  <c r="F95" i="13"/>
  <c r="A95" i="13"/>
  <c r="G94" i="13"/>
  <c r="H94" i="13" s="1"/>
  <c r="E94" i="13"/>
  <c r="F94" i="13" s="1"/>
  <c r="A94" i="13"/>
  <c r="G93" i="13"/>
  <c r="E93" i="13"/>
  <c r="F93" i="13" s="1"/>
  <c r="A93" i="13"/>
  <c r="G92" i="13"/>
  <c r="H92" i="13" s="1"/>
  <c r="E92" i="13"/>
  <c r="A92" i="13"/>
  <c r="G91" i="13"/>
  <c r="H91" i="13" s="1"/>
  <c r="E91" i="13"/>
  <c r="A91" i="13"/>
  <c r="H90" i="13"/>
  <c r="F90" i="13"/>
  <c r="A90" i="13"/>
  <c r="G89" i="13"/>
  <c r="H89" i="13" s="1"/>
  <c r="E89" i="13"/>
  <c r="F89" i="13" s="1"/>
  <c r="A89" i="13"/>
  <c r="G88" i="13"/>
  <c r="H88" i="13" s="1"/>
  <c r="E88" i="13"/>
  <c r="A88" i="13"/>
  <c r="H87" i="13"/>
  <c r="F87" i="13"/>
  <c r="A87" i="13"/>
  <c r="G86" i="13"/>
  <c r="H86" i="13" s="1"/>
  <c r="E86" i="13"/>
  <c r="F86" i="13" s="1"/>
  <c r="A86" i="13"/>
  <c r="G85" i="13"/>
  <c r="H85" i="13" s="1"/>
  <c r="E85" i="13"/>
  <c r="A85" i="13"/>
  <c r="G84" i="13"/>
  <c r="H84" i="13" s="1"/>
  <c r="E84" i="13"/>
  <c r="A84" i="13"/>
  <c r="A83" i="13"/>
  <c r="G82" i="13"/>
  <c r="A82" i="13"/>
  <c r="G81" i="13"/>
  <c r="A81" i="13"/>
  <c r="G80" i="13"/>
  <c r="A80" i="13"/>
  <c r="G79" i="13"/>
  <c r="B79" i="13"/>
  <c r="A79" i="13"/>
  <c r="G78" i="13"/>
  <c r="A78" i="13"/>
  <c r="G56" i="13"/>
  <c r="A56" i="13"/>
  <c r="G55" i="13"/>
  <c r="A55" i="13"/>
  <c r="G54" i="13"/>
  <c r="A54" i="13"/>
  <c r="G53" i="13"/>
  <c r="B53" i="13"/>
  <c r="A53" i="13"/>
  <c r="G52" i="13"/>
  <c r="A52" i="13"/>
  <c r="F51" i="13"/>
  <c r="A51" i="13"/>
  <c r="A20" i="13"/>
  <c r="A19" i="13"/>
  <c r="A18" i="13"/>
  <c r="B17" i="13"/>
  <c r="A17" i="13"/>
  <c r="A16" i="13"/>
  <c r="A15" i="13"/>
  <c r="A14" i="13"/>
  <c r="A13" i="13"/>
  <c r="A12" i="13"/>
  <c r="M6" i="13"/>
  <c r="A36" i="12"/>
  <c r="A35" i="12"/>
  <c r="L34" i="12"/>
  <c r="A34" i="12"/>
  <c r="A33" i="12"/>
  <c r="A32" i="12"/>
  <c r="C31" i="12"/>
  <c r="A31" i="12"/>
  <c r="A30" i="12"/>
  <c r="A29" i="12"/>
  <c r="C28" i="12"/>
  <c r="A28" i="12"/>
  <c r="A27" i="12"/>
  <c r="A26" i="12"/>
  <c r="C25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F10" i="12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J263" i="6"/>
  <c r="H263" i="6"/>
  <c r="F263" i="6"/>
  <c r="J217" i="6"/>
  <c r="A217" i="6"/>
  <c r="C508" i="6"/>
  <c r="F508" i="6" s="1"/>
  <c r="C509" i="6"/>
  <c r="J509" i="6" s="1"/>
  <c r="E509" i="6"/>
  <c r="A503" i="6"/>
  <c r="A501" i="6"/>
  <c r="A502" i="6"/>
  <c r="J505" i="6"/>
  <c r="O236" i="6"/>
  <c r="O220" i="6"/>
  <c r="B445" i="6"/>
  <c r="F294" i="10"/>
  <c r="F285" i="10"/>
  <c r="A285" i="10"/>
  <c r="H468" i="6" l="1"/>
  <c r="J468" i="6"/>
  <c r="F509" i="6"/>
  <c r="F344" i="13"/>
  <c r="F342" i="13"/>
  <c r="I320" i="13"/>
  <c r="J320" i="13" s="1"/>
  <c r="F312" i="13"/>
  <c r="I295" i="13"/>
  <c r="J295" i="13" s="1"/>
  <c r="F77" i="13"/>
  <c r="F79" i="13" s="1"/>
  <c r="D14" i="12" s="1"/>
  <c r="I362" i="13"/>
  <c r="J362" i="13" s="1"/>
  <c r="F352" i="13"/>
  <c r="H335" i="13"/>
  <c r="F314" i="13"/>
  <c r="H37" i="13"/>
  <c r="I346" i="13"/>
  <c r="J346" i="13" s="1"/>
  <c r="I323" i="13"/>
  <c r="J323" i="13" s="1"/>
  <c r="I356" i="13"/>
  <c r="J356" i="13" s="1"/>
  <c r="I311" i="13"/>
  <c r="J311" i="13" s="1"/>
  <c r="I315" i="13"/>
  <c r="J315" i="13" s="1"/>
  <c r="H276" i="13"/>
  <c r="I355" i="13"/>
  <c r="J355" i="13" s="1"/>
  <c r="I351" i="13"/>
  <c r="J351" i="13" s="1"/>
  <c r="I36" i="13"/>
  <c r="J36" i="13" s="1"/>
  <c r="I348" i="13"/>
  <c r="J348" i="13" s="1"/>
  <c r="I310" i="13"/>
  <c r="J310" i="13" s="1"/>
  <c r="I304" i="13"/>
  <c r="J304" i="13" s="1"/>
  <c r="I72" i="13"/>
  <c r="J72" i="13" s="1"/>
  <c r="H350" i="13"/>
  <c r="I307" i="13"/>
  <c r="J307" i="13" s="1"/>
  <c r="I296" i="13"/>
  <c r="J296" i="13" s="1"/>
  <c r="F288" i="13"/>
  <c r="I303" i="13"/>
  <c r="J303" i="13" s="1"/>
  <c r="I275" i="13"/>
  <c r="J275" i="13" s="1"/>
  <c r="I64" i="13"/>
  <c r="J64" i="13" s="1"/>
  <c r="I59" i="13"/>
  <c r="J59" i="13" s="1"/>
  <c r="F360" i="13"/>
  <c r="F336" i="13"/>
  <c r="F330" i="13"/>
  <c r="I309" i="13"/>
  <c r="J309" i="13" s="1"/>
  <c r="H295" i="13"/>
  <c r="I359" i="13"/>
  <c r="J359" i="13" s="1"/>
  <c r="I347" i="13"/>
  <c r="J347" i="13" s="1"/>
  <c r="I329" i="13"/>
  <c r="J329" i="13" s="1"/>
  <c r="I364" i="13"/>
  <c r="J364" i="13" s="1"/>
  <c r="I357" i="13"/>
  <c r="J357" i="13" s="1"/>
  <c r="I345" i="13"/>
  <c r="J345" i="13" s="1"/>
  <c r="I337" i="13"/>
  <c r="J337" i="13" s="1"/>
  <c r="I324" i="13"/>
  <c r="J324" i="13" s="1"/>
  <c r="I43" i="13"/>
  <c r="J43" i="13" s="1"/>
  <c r="I292" i="13"/>
  <c r="J292" i="13" s="1"/>
  <c r="H31" i="13"/>
  <c r="I353" i="13"/>
  <c r="J353" i="13" s="1"/>
  <c r="I341" i="13"/>
  <c r="J341" i="13" s="1"/>
  <c r="I313" i="13"/>
  <c r="J313" i="13" s="1"/>
  <c r="I298" i="13"/>
  <c r="J298" i="13" s="1"/>
  <c r="I283" i="13"/>
  <c r="J283" i="13" s="1"/>
  <c r="H373" i="13"/>
  <c r="I325" i="13"/>
  <c r="J325" i="13" s="1"/>
  <c r="I372" i="13"/>
  <c r="J372" i="13" s="1"/>
  <c r="I262" i="13"/>
  <c r="J262" i="13" s="1"/>
  <c r="I370" i="13"/>
  <c r="J370" i="13" s="1"/>
  <c r="I367" i="13"/>
  <c r="J367" i="13" s="1"/>
  <c r="H44" i="13"/>
  <c r="I40" i="13"/>
  <c r="J40" i="13" s="1"/>
  <c r="I28" i="13"/>
  <c r="J28" i="13" s="1"/>
  <c r="I389" i="13"/>
  <c r="J389" i="13" s="1"/>
  <c r="I413" i="13"/>
  <c r="J413" i="13" s="1"/>
  <c r="H39" i="13"/>
  <c r="H29" i="13"/>
  <c r="I200" i="13"/>
  <c r="J200" i="13" s="1"/>
  <c r="H47" i="13"/>
  <c r="I38" i="13"/>
  <c r="J38" i="13" s="1"/>
  <c r="I411" i="13"/>
  <c r="J411" i="13" s="1"/>
  <c r="I50" i="13"/>
  <c r="J50" i="13" s="1"/>
  <c r="H46" i="13"/>
  <c r="I25" i="13"/>
  <c r="J25" i="13" s="1"/>
  <c r="H30" i="13"/>
  <c r="H32" i="13"/>
  <c r="I207" i="13"/>
  <c r="J207" i="13" s="1"/>
  <c r="I45" i="13"/>
  <c r="J45" i="13" s="1"/>
  <c r="H35" i="13"/>
  <c r="I124" i="13"/>
  <c r="J124" i="13" s="1"/>
  <c r="I132" i="13"/>
  <c r="J132" i="13" s="1"/>
  <c r="I136" i="13"/>
  <c r="J136" i="13" s="1"/>
  <c r="I172" i="13"/>
  <c r="J172" i="13" s="1"/>
  <c r="I21" i="13"/>
  <c r="J21" i="13" s="1"/>
  <c r="I211" i="13"/>
  <c r="J211" i="13" s="1"/>
  <c r="I23" i="13"/>
  <c r="J23" i="13" s="1"/>
  <c r="I113" i="13"/>
  <c r="J113" i="13" s="1"/>
  <c r="J470" i="6"/>
  <c r="I120" i="13"/>
  <c r="J120" i="13" s="1"/>
  <c r="I205" i="13"/>
  <c r="J205" i="13" s="1"/>
  <c r="I225" i="13"/>
  <c r="J225" i="13" s="1"/>
  <c r="I245" i="13"/>
  <c r="J245" i="13" s="1"/>
  <c r="I390" i="13"/>
  <c r="J390" i="13" s="1"/>
  <c r="H470" i="6"/>
  <c r="I162" i="13"/>
  <c r="J162" i="13" s="1"/>
  <c r="I103" i="13"/>
  <c r="J103" i="13" s="1"/>
  <c r="I231" i="13"/>
  <c r="J231" i="13" s="1"/>
  <c r="H120" i="13"/>
  <c r="I414" i="13"/>
  <c r="J414" i="13" s="1"/>
  <c r="I137" i="13"/>
  <c r="J137" i="13" s="1"/>
  <c r="F172" i="13"/>
  <c r="I105" i="13"/>
  <c r="J105" i="13" s="1"/>
  <c r="I109" i="13"/>
  <c r="J109" i="13" s="1"/>
  <c r="I145" i="13"/>
  <c r="J145" i="13" s="1"/>
  <c r="F205" i="13"/>
  <c r="I91" i="13"/>
  <c r="J91" i="13" s="1"/>
  <c r="I106" i="13"/>
  <c r="J106" i="13" s="1"/>
  <c r="I126" i="13"/>
  <c r="J126" i="13" s="1"/>
  <c r="I164" i="13"/>
  <c r="J164" i="13" s="1"/>
  <c r="I246" i="13"/>
  <c r="J246" i="13" s="1"/>
  <c r="F103" i="13"/>
  <c r="I154" i="13"/>
  <c r="J154" i="13" s="1"/>
  <c r="I259" i="13"/>
  <c r="J259" i="13" s="1"/>
  <c r="F154" i="13"/>
  <c r="I228" i="13"/>
  <c r="J228" i="13" s="1"/>
  <c r="I402" i="13"/>
  <c r="J402" i="13" s="1"/>
  <c r="I100" i="13"/>
  <c r="J100" i="13" s="1"/>
  <c r="I199" i="13"/>
  <c r="J199" i="13" s="1"/>
  <c r="I407" i="13"/>
  <c r="J407" i="13" s="1"/>
  <c r="I93" i="13"/>
  <c r="J93" i="13" s="1"/>
  <c r="I174" i="13"/>
  <c r="J174" i="13" s="1"/>
  <c r="I222" i="13"/>
  <c r="J222" i="13" s="1"/>
  <c r="I226" i="13"/>
  <c r="J226" i="13" s="1"/>
  <c r="I229" i="13"/>
  <c r="J229" i="13" s="1"/>
  <c r="I400" i="13"/>
  <c r="J400" i="13" s="1"/>
  <c r="I102" i="13"/>
  <c r="J102" i="13" s="1"/>
  <c r="I203" i="13"/>
  <c r="J203" i="13" s="1"/>
  <c r="I242" i="13"/>
  <c r="J242" i="13" s="1"/>
  <c r="I166" i="13"/>
  <c r="J166" i="13" s="1"/>
  <c r="I170" i="13"/>
  <c r="J170" i="13" s="1"/>
  <c r="I230" i="13"/>
  <c r="J230" i="13" s="1"/>
  <c r="F105" i="13"/>
  <c r="F124" i="13"/>
  <c r="I193" i="13"/>
  <c r="J193" i="13" s="1"/>
  <c r="F225" i="13"/>
  <c r="I249" i="13"/>
  <c r="J249" i="13" s="1"/>
  <c r="I260" i="13"/>
  <c r="J260" i="13" s="1"/>
  <c r="I381" i="13"/>
  <c r="J381" i="13" s="1"/>
  <c r="H402" i="13"/>
  <c r="F207" i="13"/>
  <c r="F228" i="13"/>
  <c r="I85" i="13"/>
  <c r="J85" i="13" s="1"/>
  <c r="F109" i="13"/>
  <c r="I121" i="13"/>
  <c r="J121" i="13" s="1"/>
  <c r="H191" i="13"/>
  <c r="H204" i="13"/>
  <c r="F85" i="13"/>
  <c r="I194" i="13"/>
  <c r="J194" i="13" s="1"/>
  <c r="I254" i="13"/>
  <c r="J254" i="13" s="1"/>
  <c r="I208" i="13"/>
  <c r="J208" i="13" s="1"/>
  <c r="F100" i="13"/>
  <c r="I192" i="13"/>
  <c r="J192" i="13" s="1"/>
  <c r="I195" i="13"/>
  <c r="J195" i="13" s="1"/>
  <c r="I397" i="13"/>
  <c r="J397" i="13" s="1"/>
  <c r="I410" i="13"/>
  <c r="J410" i="13" s="1"/>
  <c r="I89" i="13"/>
  <c r="J89" i="13" s="1"/>
  <c r="I122" i="13"/>
  <c r="J122" i="13" s="1"/>
  <c r="H189" i="13"/>
  <c r="I223" i="13"/>
  <c r="J223" i="13" s="1"/>
  <c r="F397" i="13"/>
  <c r="I147" i="13"/>
  <c r="J147" i="13" s="1"/>
  <c r="I212" i="13"/>
  <c r="J212" i="13" s="1"/>
  <c r="H229" i="13"/>
  <c r="F259" i="13"/>
  <c r="I86" i="13"/>
  <c r="J86" i="13" s="1"/>
  <c r="I97" i="13"/>
  <c r="J97" i="13" s="1"/>
  <c r="I176" i="13"/>
  <c r="J176" i="13" s="1"/>
  <c r="I232" i="13"/>
  <c r="J232" i="13" s="1"/>
  <c r="I248" i="13"/>
  <c r="J248" i="13" s="1"/>
  <c r="F411" i="13"/>
  <c r="I101" i="13"/>
  <c r="J101" i="13" s="1"/>
  <c r="I111" i="13"/>
  <c r="J111" i="13" s="1"/>
  <c r="I148" i="13"/>
  <c r="J148" i="13" s="1"/>
  <c r="I173" i="13"/>
  <c r="J173" i="13" s="1"/>
  <c r="I196" i="13"/>
  <c r="J196" i="13" s="1"/>
  <c r="I206" i="13"/>
  <c r="J206" i="13" s="1"/>
  <c r="I252" i="13"/>
  <c r="J252" i="13" s="1"/>
  <c r="I391" i="13"/>
  <c r="J391" i="13" s="1"/>
  <c r="I419" i="13"/>
  <c r="J419" i="13" s="1"/>
  <c r="J422" i="13" s="1"/>
  <c r="F22" i="12" s="1"/>
  <c r="M22" i="12" s="1"/>
  <c r="F101" i="13"/>
  <c r="F111" i="13"/>
  <c r="I146" i="13"/>
  <c r="J146" i="13" s="1"/>
  <c r="I158" i="13"/>
  <c r="J158" i="13" s="1"/>
  <c r="F166" i="13"/>
  <c r="F176" i="13"/>
  <c r="I221" i="13"/>
  <c r="J221" i="13" s="1"/>
  <c r="I227" i="13"/>
  <c r="J227" i="13" s="1"/>
  <c r="I243" i="13"/>
  <c r="J243" i="13" s="1"/>
  <c r="I258" i="13"/>
  <c r="J258" i="13" s="1"/>
  <c r="I385" i="13"/>
  <c r="J385" i="13" s="1"/>
  <c r="I396" i="13"/>
  <c r="J396" i="13" s="1"/>
  <c r="I404" i="13"/>
  <c r="J404" i="13" s="1"/>
  <c r="H121" i="13"/>
  <c r="F132" i="13"/>
  <c r="H137" i="13"/>
  <c r="F164" i="13"/>
  <c r="F174" i="13"/>
  <c r="H198" i="13"/>
  <c r="H210" i="13"/>
  <c r="H246" i="13"/>
  <c r="H249" i="13"/>
  <c r="H126" i="13"/>
  <c r="I149" i="13"/>
  <c r="J149" i="13" s="1"/>
  <c r="F162" i="13"/>
  <c r="F192" i="13"/>
  <c r="F196" i="13"/>
  <c r="F208" i="13"/>
  <c r="F226" i="13"/>
  <c r="I244" i="13"/>
  <c r="J244" i="13" s="1"/>
  <c r="F389" i="13"/>
  <c r="H391" i="13"/>
  <c r="I394" i="13"/>
  <c r="J394" i="13" s="1"/>
  <c r="F413" i="13"/>
  <c r="F206" i="13"/>
  <c r="F222" i="13"/>
  <c r="I380" i="13"/>
  <c r="J380" i="13" s="1"/>
  <c r="I150" i="13"/>
  <c r="J150" i="13" s="1"/>
  <c r="F242" i="13"/>
  <c r="H194" i="13"/>
  <c r="F199" i="13"/>
  <c r="H202" i="13"/>
  <c r="F211" i="13"/>
  <c r="F231" i="13"/>
  <c r="H239" i="13"/>
  <c r="I261" i="13"/>
  <c r="J261" i="13" s="1"/>
  <c r="F91" i="13"/>
  <c r="F136" i="13"/>
  <c r="H217" i="13"/>
  <c r="I236" i="13"/>
  <c r="J236" i="13" s="1"/>
  <c r="I214" i="13"/>
  <c r="J214" i="13" s="1"/>
  <c r="I250" i="13"/>
  <c r="J250" i="13" s="1"/>
  <c r="F254" i="13"/>
  <c r="I392" i="13"/>
  <c r="J392" i="13" s="1"/>
  <c r="I127" i="13"/>
  <c r="J127" i="13" s="1"/>
  <c r="F148" i="13"/>
  <c r="I171" i="13"/>
  <c r="J171" i="13" s="1"/>
  <c r="H245" i="13"/>
  <c r="F262" i="13"/>
  <c r="I133" i="13"/>
  <c r="J133" i="13" s="1"/>
  <c r="I234" i="13"/>
  <c r="J234" i="13" s="1"/>
  <c r="H381" i="13"/>
  <c r="I384" i="13"/>
  <c r="J384" i="13" s="1"/>
  <c r="I388" i="13"/>
  <c r="J388" i="13" s="1"/>
  <c r="I412" i="13"/>
  <c r="J412" i="13" s="1"/>
  <c r="I94" i="13"/>
  <c r="J94" i="13" s="1"/>
  <c r="F53" i="13"/>
  <c r="D13" i="12" s="1"/>
  <c r="I88" i="13"/>
  <c r="J88" i="13" s="1"/>
  <c r="F88" i="13"/>
  <c r="I110" i="13"/>
  <c r="J110" i="13" s="1"/>
  <c r="I135" i="13"/>
  <c r="J135" i="13" s="1"/>
  <c r="F135" i="13"/>
  <c r="I141" i="13"/>
  <c r="J141" i="13" s="1"/>
  <c r="I155" i="13"/>
  <c r="J155" i="13" s="1"/>
  <c r="H93" i="13"/>
  <c r="F213" i="13"/>
  <c r="I213" i="13"/>
  <c r="J213" i="13" s="1"/>
  <c r="I108" i="13"/>
  <c r="J108" i="13" s="1"/>
  <c r="F170" i="13"/>
  <c r="I125" i="13"/>
  <c r="J125" i="13" s="1"/>
  <c r="F125" i="13"/>
  <c r="F106" i="13"/>
  <c r="I123" i="13"/>
  <c r="J123" i="13" s="1"/>
  <c r="I233" i="13"/>
  <c r="J233" i="13" s="1"/>
  <c r="F235" i="13"/>
  <c r="I235" i="13"/>
  <c r="J235" i="13" s="1"/>
  <c r="I96" i="13"/>
  <c r="J96" i="13" s="1"/>
  <c r="F96" i="13"/>
  <c r="I84" i="13"/>
  <c r="J84" i="13" s="1"/>
  <c r="F84" i="13"/>
  <c r="I131" i="13"/>
  <c r="J131" i="13" s="1"/>
  <c r="F131" i="13"/>
  <c r="I139" i="13"/>
  <c r="J139" i="13" s="1"/>
  <c r="F139" i="13"/>
  <c r="I165" i="13"/>
  <c r="J165" i="13" s="1"/>
  <c r="F165" i="13"/>
  <c r="F257" i="13"/>
  <c r="I257" i="13"/>
  <c r="J257" i="13" s="1"/>
  <c r="F395" i="13"/>
  <c r="I395" i="13"/>
  <c r="J395" i="13" s="1"/>
  <c r="F403" i="13"/>
  <c r="I403" i="13"/>
  <c r="J403" i="13" s="1"/>
  <c r="I163" i="13"/>
  <c r="J163" i="13" s="1"/>
  <c r="I92" i="13"/>
  <c r="J92" i="13" s="1"/>
  <c r="F92" i="13"/>
  <c r="H97" i="13"/>
  <c r="F102" i="13"/>
  <c r="I401" i="13"/>
  <c r="J401" i="13" s="1"/>
  <c r="I129" i="13"/>
  <c r="J129" i="13" s="1"/>
  <c r="F129" i="13"/>
  <c r="I393" i="13"/>
  <c r="J393" i="13" s="1"/>
  <c r="F230" i="13"/>
  <c r="F244" i="13"/>
  <c r="F248" i="13"/>
  <c r="F252" i="13"/>
  <c r="F390" i="13"/>
  <c r="F414" i="13"/>
  <c r="H188" i="13"/>
  <c r="H190" i="13"/>
  <c r="H218" i="13"/>
  <c r="H240" i="13"/>
  <c r="F400" i="13"/>
  <c r="H149" i="13"/>
  <c r="H200" i="13"/>
  <c r="H212" i="13"/>
  <c r="H234" i="13"/>
  <c r="H394" i="13"/>
  <c r="F217" i="6"/>
  <c r="H217" i="6"/>
  <c r="H509" i="6"/>
  <c r="H505" i="6"/>
  <c r="F505" i="6"/>
  <c r="H53" i="13" l="1"/>
  <c r="E13" i="12" s="1"/>
  <c r="J53" i="13"/>
  <c r="F13" i="12" s="1"/>
  <c r="M13" i="12" s="1"/>
  <c r="H115" i="13"/>
  <c r="E15" i="12" s="1"/>
  <c r="H416" i="13"/>
  <c r="E21" i="12" s="1"/>
  <c r="J79" i="13"/>
  <c r="F14" i="12" s="1"/>
  <c r="M14" i="12" s="1"/>
  <c r="J264" i="13"/>
  <c r="F18" i="12" s="1"/>
  <c r="M18" i="12" s="1"/>
  <c r="J375" i="13"/>
  <c r="F20" i="12" s="1"/>
  <c r="M20" i="12" s="1"/>
  <c r="H178" i="13"/>
  <c r="E16" i="12" s="1"/>
  <c r="H375" i="13"/>
  <c r="E20" i="12" s="1"/>
  <c r="J178" i="13"/>
  <c r="F16" i="12" s="1"/>
  <c r="M16" i="12" s="1"/>
  <c r="F375" i="13"/>
  <c r="D20" i="12" s="1"/>
  <c r="H79" i="13"/>
  <c r="E14" i="12" s="1"/>
  <c r="J416" i="13"/>
  <c r="F21" i="12" s="1"/>
  <c r="M21" i="12" s="1"/>
  <c r="F264" i="13"/>
  <c r="D18" i="12" s="1"/>
  <c r="F416" i="13"/>
  <c r="D21" i="12" s="1"/>
  <c r="F115" i="13"/>
  <c r="D15" i="12" s="1"/>
  <c r="J115" i="13"/>
  <c r="F15" i="12" s="1"/>
  <c r="M15" i="12" s="1"/>
  <c r="H264" i="13"/>
  <c r="E18" i="12" s="1"/>
  <c r="F178" i="13"/>
  <c r="D16" i="12" s="1"/>
  <c r="G15" i="13" l="1"/>
  <c r="H15" i="13" s="1"/>
  <c r="H17" i="13" s="1"/>
  <c r="E12" i="12" s="1"/>
  <c r="E24" i="12" s="1"/>
  <c r="E25" i="12" s="1"/>
  <c r="E27" i="12" s="1"/>
  <c r="K24" i="12"/>
  <c r="E15" i="13"/>
  <c r="I15" i="13" l="1"/>
  <c r="J15" i="13" s="1"/>
  <c r="J17" i="13" s="1"/>
  <c r="F12" i="12" s="1"/>
  <c r="F24" i="12" s="1"/>
  <c r="F25" i="12" s="1"/>
  <c r="F27" i="12" s="1"/>
  <c r="F15" i="13"/>
  <c r="F17" i="13" s="1"/>
  <c r="D12" i="12" s="1"/>
  <c r="D24" i="12" s="1"/>
  <c r="E28" i="12"/>
  <c r="E30" i="12" s="1"/>
  <c r="D25" i="12" l="1"/>
  <c r="D27" i="12" s="1"/>
  <c r="D28" i="12" s="1"/>
  <c r="D30" i="12" s="1"/>
  <c r="F28" i="12"/>
  <c r="F30" i="12" s="1"/>
  <c r="E31" i="12"/>
  <c r="E33" i="12" s="1"/>
  <c r="F31" i="12" l="1"/>
  <c r="F33" i="12" s="1"/>
  <c r="D31" i="12"/>
  <c r="D33" i="12" s="1"/>
  <c r="E34" i="12"/>
  <c r="E36" i="12" s="1"/>
  <c r="E40" i="12" s="1"/>
  <c r="E39" i="12"/>
  <c r="F34" i="12" l="1"/>
  <c r="F36" i="12" s="1"/>
  <c r="F50" i="5" s="1"/>
  <c r="F39" i="12"/>
  <c r="D34" i="12"/>
  <c r="D36" i="12" s="1"/>
  <c r="D40" i="12" s="1"/>
  <c r="D39" i="12"/>
  <c r="I50" i="5" l="1"/>
  <c r="I52" i="5" s="1"/>
  <c r="E50" i="5"/>
  <c r="D50" i="5"/>
  <c r="F40" i="12"/>
  <c r="J36" i="12"/>
  <c r="K36" i="12"/>
  <c r="E74" i="10" l="1"/>
  <c r="E75" i="10" s="1"/>
  <c r="E22" i="10"/>
  <c r="F22" i="10"/>
  <c r="A22" i="10"/>
  <c r="F17" i="10"/>
  <c r="A17" i="10"/>
  <c r="F93" i="10"/>
  <c r="C73" i="10"/>
  <c r="F73" i="10" s="1"/>
  <c r="J73" i="10"/>
  <c r="C72" i="10"/>
  <c r="F72" i="10" s="1"/>
  <c r="J72" i="10"/>
  <c r="C71" i="10"/>
  <c r="F71" i="10" s="1"/>
  <c r="J71" i="10"/>
  <c r="C70" i="10"/>
  <c r="F70" i="10" s="1"/>
  <c r="J70" i="10"/>
  <c r="A70" i="10"/>
  <c r="A71" i="10"/>
  <c r="A72" i="10"/>
  <c r="A73" i="10"/>
  <c r="A74" i="10"/>
  <c r="A75" i="10"/>
  <c r="F74" i="10" l="1"/>
  <c r="A251" i="6"/>
  <c r="A252" i="6"/>
  <c r="A214" i="6"/>
  <c r="A215" i="6"/>
  <c r="A216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6" i="6"/>
  <c r="A257" i="6"/>
  <c r="A258" i="6"/>
  <c r="A259" i="6"/>
  <c r="A260" i="6"/>
  <c r="A261" i="6"/>
  <c r="A262" i="6"/>
  <c r="J250" i="6"/>
  <c r="C249" i="6"/>
  <c r="F249" i="6" s="1"/>
  <c r="C248" i="6"/>
  <c r="H249" i="6" s="1"/>
  <c r="C247" i="6"/>
  <c r="J247" i="6" s="1"/>
  <c r="C246" i="6"/>
  <c r="F246" i="6" s="1"/>
  <c r="C245" i="6"/>
  <c r="J245" i="6" s="1"/>
  <c r="C244" i="6"/>
  <c r="J244" i="6" s="1"/>
  <c r="C243" i="6"/>
  <c r="F243" i="6" s="1"/>
  <c r="C242" i="6"/>
  <c r="H244" i="6" s="1"/>
  <c r="J241" i="6"/>
  <c r="C241" i="6"/>
  <c r="F241" i="6" s="1"/>
  <c r="J240" i="6"/>
  <c r="H240" i="6"/>
  <c r="F240" i="6"/>
  <c r="C239" i="6"/>
  <c r="H239" i="6" s="1"/>
  <c r="J238" i="6"/>
  <c r="H238" i="6"/>
  <c r="F238" i="6"/>
  <c r="J237" i="6"/>
  <c r="H237" i="6"/>
  <c r="F237" i="6"/>
  <c r="J236" i="6"/>
  <c r="H236" i="6"/>
  <c r="F236" i="6"/>
  <c r="J235" i="6"/>
  <c r="H235" i="6"/>
  <c r="F235" i="6"/>
  <c r="J234" i="6"/>
  <c r="H234" i="6"/>
  <c r="F234" i="6"/>
  <c r="J233" i="6"/>
  <c r="H233" i="6"/>
  <c r="F233" i="6"/>
  <c r="J231" i="6"/>
  <c r="H231" i="6"/>
  <c r="F231" i="6"/>
  <c r="C230" i="6"/>
  <c r="J230" i="6" s="1"/>
  <c r="H229" i="6"/>
  <c r="C229" i="6"/>
  <c r="F229" i="6" s="1"/>
  <c r="J228" i="6"/>
  <c r="H228" i="6"/>
  <c r="F228" i="6"/>
  <c r="J227" i="6"/>
  <c r="H227" i="6"/>
  <c r="F227" i="6"/>
  <c r="J226" i="6"/>
  <c r="H226" i="6"/>
  <c r="F226" i="6"/>
  <c r="J225" i="6"/>
  <c r="H225" i="6"/>
  <c r="F225" i="6"/>
  <c r="J224" i="6"/>
  <c r="H224" i="6"/>
  <c r="F224" i="6"/>
  <c r="J223" i="6"/>
  <c r="H223" i="6"/>
  <c r="F223" i="6"/>
  <c r="J222" i="6"/>
  <c r="H222" i="6"/>
  <c r="F222" i="6"/>
  <c r="C221" i="6"/>
  <c r="H221" i="6" s="1"/>
  <c r="F220" i="6"/>
  <c r="J219" i="6"/>
  <c r="H219" i="6"/>
  <c r="F219" i="6"/>
  <c r="J218" i="6"/>
  <c r="H218" i="6"/>
  <c r="F218" i="6"/>
  <c r="A208" i="6"/>
  <c r="A209" i="6"/>
  <c r="A210" i="6"/>
  <c r="A211" i="6"/>
  <c r="A212" i="6"/>
  <c r="A213" i="6"/>
  <c r="J210" i="6"/>
  <c r="H210" i="6"/>
  <c r="F210" i="6"/>
  <c r="H220" i="6" l="1"/>
  <c r="J220" i="6"/>
  <c r="H508" i="6"/>
  <c r="J508" i="6"/>
  <c r="J221" i="6"/>
  <c r="F248" i="6"/>
  <c r="J248" i="6"/>
  <c r="J249" i="6"/>
  <c r="F242" i="6"/>
  <c r="H246" i="6"/>
  <c r="J242" i="6"/>
  <c r="J246" i="6"/>
  <c r="J229" i="6"/>
  <c r="H243" i="6"/>
  <c r="H247" i="6"/>
  <c r="H230" i="6"/>
  <c r="J243" i="6"/>
  <c r="F245" i="6"/>
  <c r="H245" i="6"/>
  <c r="F230" i="6"/>
  <c r="H241" i="6"/>
  <c r="F239" i="6"/>
  <c r="H242" i="6"/>
  <c r="H248" i="6"/>
  <c r="F221" i="6"/>
  <c r="J239" i="6"/>
  <c r="F244" i="6"/>
  <c r="F247" i="6"/>
  <c r="F250" i="6"/>
  <c r="H250" i="6"/>
  <c r="C502" i="6" l="1"/>
  <c r="H502" i="6" s="1"/>
  <c r="C501" i="6"/>
  <c r="H501" i="6" s="1"/>
  <c r="C500" i="6"/>
  <c r="J500" i="6" s="1"/>
  <c r="C496" i="6"/>
  <c r="J496" i="6" s="1"/>
  <c r="C495" i="6"/>
  <c r="J495" i="6" s="1"/>
  <c r="C494" i="6"/>
  <c r="H494" i="6" s="1"/>
  <c r="C493" i="6"/>
  <c r="J493" i="6" s="1"/>
  <c r="C492" i="6"/>
  <c r="J492" i="6" s="1"/>
  <c r="C491" i="6"/>
  <c r="F491" i="6" s="1"/>
  <c r="C490" i="6"/>
  <c r="J490" i="6" s="1"/>
  <c r="C489" i="6"/>
  <c r="J489" i="6" s="1"/>
  <c r="A500" i="6"/>
  <c r="J499" i="6"/>
  <c r="H499" i="6"/>
  <c r="F499" i="6"/>
  <c r="A499" i="6"/>
  <c r="J498" i="6"/>
  <c r="H498" i="6"/>
  <c r="A498" i="6"/>
  <c r="J497" i="6"/>
  <c r="H497" i="6"/>
  <c r="F497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58" i="6"/>
  <c r="A457" i="6"/>
  <c r="A450" i="6"/>
  <c r="A449" i="6"/>
  <c r="A201" i="6"/>
  <c r="A200" i="6"/>
  <c r="A170" i="6"/>
  <c r="A169" i="6"/>
  <c r="C156" i="6"/>
  <c r="F156" i="6" s="1"/>
  <c r="C153" i="6"/>
  <c r="F153" i="6" s="1"/>
  <c r="C150" i="6"/>
  <c r="F150" i="6" s="1"/>
  <c r="C147" i="6"/>
  <c r="F147" i="6" s="1"/>
  <c r="A162" i="6"/>
  <c r="J161" i="6"/>
  <c r="H161" i="6"/>
  <c r="F161" i="6"/>
  <c r="A161" i="6"/>
  <c r="A160" i="6"/>
  <c r="A159" i="6"/>
  <c r="A158" i="6"/>
  <c r="A157" i="6"/>
  <c r="I156" i="6"/>
  <c r="G156" i="6"/>
  <c r="A156" i="6"/>
  <c r="A155" i="6"/>
  <c r="A154" i="6"/>
  <c r="I153" i="6"/>
  <c r="G153" i="6"/>
  <c r="A153" i="6"/>
  <c r="A152" i="6"/>
  <c r="A151" i="6"/>
  <c r="I150" i="6"/>
  <c r="G150" i="6"/>
  <c r="A150" i="6"/>
  <c r="A149" i="6"/>
  <c r="A148" i="6"/>
  <c r="I147" i="6"/>
  <c r="G147" i="6"/>
  <c r="A147" i="6"/>
  <c r="A146" i="6"/>
  <c r="A145" i="6"/>
  <c r="A144" i="6"/>
  <c r="A143" i="6"/>
  <c r="C134" i="6"/>
  <c r="J134" i="6" s="1"/>
  <c r="C129" i="6"/>
  <c r="F129" i="6" s="1"/>
  <c r="C126" i="6"/>
  <c r="H126" i="6" s="1"/>
  <c r="C124" i="6"/>
  <c r="J124" i="6" s="1"/>
  <c r="A136" i="6"/>
  <c r="A135" i="6"/>
  <c r="G134" i="6"/>
  <c r="A134" i="6"/>
  <c r="A133" i="6"/>
  <c r="A132" i="6"/>
  <c r="A131" i="6"/>
  <c r="A130" i="6"/>
  <c r="I129" i="6"/>
  <c r="A129" i="6"/>
  <c r="A128" i="6"/>
  <c r="A127" i="6"/>
  <c r="A126" i="6"/>
  <c r="A125" i="6"/>
  <c r="A124" i="6"/>
  <c r="A123" i="6"/>
  <c r="A122" i="6"/>
  <c r="A121" i="6"/>
  <c r="A114" i="6"/>
  <c r="A113" i="6"/>
  <c r="A112" i="6"/>
  <c r="I111" i="6"/>
  <c r="J111" i="6" s="1"/>
  <c r="G111" i="6"/>
  <c r="H111" i="6" s="1"/>
  <c r="F111" i="6"/>
  <c r="A111" i="6"/>
  <c r="A110" i="6"/>
  <c r="I109" i="6"/>
  <c r="J109" i="6" s="1"/>
  <c r="G109" i="6"/>
  <c r="H109" i="6" s="1"/>
  <c r="F109" i="6"/>
  <c r="A109" i="6"/>
  <c r="A108" i="6"/>
  <c r="I107" i="6"/>
  <c r="J107" i="6" s="1"/>
  <c r="G107" i="6"/>
  <c r="H107" i="6" s="1"/>
  <c r="F107" i="6"/>
  <c r="A107" i="6"/>
  <c r="A106" i="6"/>
  <c r="A105" i="6"/>
  <c r="A104" i="6"/>
  <c r="A97" i="6"/>
  <c r="A96" i="6"/>
  <c r="A95" i="6"/>
  <c r="C84" i="6"/>
  <c r="J84" i="6" s="1"/>
  <c r="C80" i="6"/>
  <c r="J80" i="6" s="1"/>
  <c r="C78" i="6"/>
  <c r="J78" i="6" s="1"/>
  <c r="C74" i="6"/>
  <c r="H74" i="6" s="1"/>
  <c r="C72" i="6"/>
  <c r="H72" i="6" s="1"/>
  <c r="C70" i="6"/>
  <c r="F70" i="6" s="1"/>
  <c r="C68" i="6"/>
  <c r="F68" i="6" s="1"/>
  <c r="C66" i="6"/>
  <c r="F66" i="6" s="1"/>
  <c r="C64" i="6"/>
  <c r="J64" i="6" s="1"/>
  <c r="C62" i="6"/>
  <c r="H62" i="6" s="1"/>
  <c r="A88" i="6"/>
  <c r="J87" i="6"/>
  <c r="H87" i="6"/>
  <c r="F87" i="6"/>
  <c r="A87" i="6"/>
  <c r="A85" i="6"/>
  <c r="G84" i="6"/>
  <c r="A84" i="6"/>
  <c r="A83" i="6"/>
  <c r="J82" i="6"/>
  <c r="H82" i="6"/>
  <c r="F82" i="6"/>
  <c r="A82" i="6"/>
  <c r="A80" i="6"/>
  <c r="A78" i="6"/>
  <c r="A77" i="6"/>
  <c r="A76" i="6"/>
  <c r="A75" i="6"/>
  <c r="I74" i="6"/>
  <c r="A74" i="6"/>
  <c r="A73" i="6"/>
  <c r="A72" i="6"/>
  <c r="A71" i="6"/>
  <c r="I70" i="6"/>
  <c r="G70" i="6"/>
  <c r="A70" i="6"/>
  <c r="A69" i="6"/>
  <c r="A68" i="6"/>
  <c r="A67" i="6"/>
  <c r="I66" i="6"/>
  <c r="G66" i="6"/>
  <c r="A66" i="6"/>
  <c r="A64" i="6"/>
  <c r="A62" i="6"/>
  <c r="A61" i="6"/>
  <c r="A60" i="6"/>
  <c r="A59" i="6"/>
  <c r="A58" i="6"/>
  <c r="C44" i="6"/>
  <c r="C39" i="6"/>
  <c r="C36" i="6"/>
  <c r="C33" i="6"/>
  <c r="C31" i="6"/>
  <c r="C29" i="6"/>
  <c r="J129" i="6" l="1"/>
  <c r="J502" i="6"/>
  <c r="J501" i="6"/>
  <c r="F492" i="6"/>
  <c r="H492" i="6"/>
  <c r="F78" i="6"/>
  <c r="H80" i="6"/>
  <c r="J494" i="6"/>
  <c r="H491" i="6"/>
  <c r="J491" i="6"/>
  <c r="F500" i="6"/>
  <c r="H500" i="6"/>
  <c r="H493" i="6"/>
  <c r="H490" i="6"/>
  <c r="F490" i="6"/>
  <c r="F495" i="6"/>
  <c r="H495" i="6"/>
  <c r="F493" i="6"/>
  <c r="F498" i="6"/>
  <c r="F501" i="6"/>
  <c r="F496" i="6"/>
  <c r="F489" i="6"/>
  <c r="H496" i="6"/>
  <c r="H489" i="6"/>
  <c r="F494" i="6"/>
  <c r="F502" i="6"/>
  <c r="H129" i="6"/>
  <c r="J66" i="6"/>
  <c r="J153" i="6"/>
  <c r="F126" i="6"/>
  <c r="H64" i="6"/>
  <c r="J68" i="6"/>
  <c r="J74" i="6"/>
  <c r="J126" i="6"/>
  <c r="H70" i="6"/>
  <c r="J70" i="6"/>
  <c r="H134" i="6"/>
  <c r="J72" i="6"/>
  <c r="H68" i="6"/>
  <c r="H156" i="6"/>
  <c r="F62" i="6"/>
  <c r="F134" i="6"/>
  <c r="J150" i="6"/>
  <c r="J62" i="6"/>
  <c r="J156" i="6"/>
  <c r="H147" i="6"/>
  <c r="J147" i="6"/>
  <c r="H124" i="6"/>
  <c r="H153" i="6"/>
  <c r="F80" i="6"/>
  <c r="H150" i="6"/>
  <c r="F124" i="6"/>
  <c r="H66" i="6"/>
  <c r="H78" i="6"/>
  <c r="F74" i="6"/>
  <c r="F84" i="6"/>
  <c r="H84" i="6"/>
  <c r="F64" i="6"/>
  <c r="F72" i="6"/>
  <c r="I44" i="6" l="1"/>
  <c r="J44" i="6" s="1"/>
  <c r="G44" i="6"/>
  <c r="H44" i="6" s="1"/>
  <c r="F44" i="6"/>
  <c r="I39" i="6"/>
  <c r="J39" i="6" s="1"/>
  <c r="G39" i="6"/>
  <c r="H39" i="6" s="1"/>
  <c r="F39" i="6"/>
  <c r="J36" i="6"/>
  <c r="H36" i="6"/>
  <c r="F36" i="6"/>
  <c r="I33" i="6"/>
  <c r="J33" i="6" s="1"/>
  <c r="G33" i="6"/>
  <c r="H33" i="6" s="1"/>
  <c r="F33" i="6"/>
  <c r="I31" i="6"/>
  <c r="J31" i="6" s="1"/>
  <c r="G31" i="6"/>
  <c r="H31" i="6" s="1"/>
  <c r="F31" i="6"/>
  <c r="I29" i="6"/>
  <c r="J29" i="6" s="1"/>
  <c r="G29" i="6"/>
  <c r="H29" i="6" s="1"/>
  <c r="F29" i="6"/>
  <c r="A26" i="6"/>
  <c r="C61" i="10" l="1"/>
  <c r="F61" i="10" s="1"/>
  <c r="A61" i="10"/>
  <c r="F60" i="10"/>
  <c r="A60" i="10"/>
  <c r="F59" i="10"/>
  <c r="A59" i="10"/>
  <c r="C58" i="10"/>
  <c r="F58" i="10" s="1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F46" i="10"/>
  <c r="C45" i="10"/>
  <c r="F19" i="10"/>
  <c r="A19" i="10"/>
  <c r="A16" i="10"/>
  <c r="A20" i="10"/>
  <c r="A21" i="10"/>
  <c r="A24" i="10"/>
  <c r="A15" i="10"/>
  <c r="F16" i="10"/>
  <c r="B6" i="11"/>
  <c r="B5" i="11"/>
  <c r="F4" i="11"/>
  <c r="B4" i="11"/>
  <c r="G4" i="9"/>
  <c r="A298" i="10"/>
  <c r="A297" i="10"/>
  <c r="F296" i="10"/>
  <c r="A289" i="10"/>
  <c r="A288" i="10"/>
  <c r="A287" i="10"/>
  <c r="A286" i="10"/>
  <c r="F287" i="10"/>
  <c r="A280" i="10"/>
  <c r="A279" i="10"/>
  <c r="F278" i="10"/>
  <c r="A169" i="10"/>
  <c r="A168" i="10"/>
  <c r="F167" i="10"/>
  <c r="A97" i="10"/>
  <c r="A96" i="10"/>
  <c r="A95" i="10"/>
  <c r="A94" i="10"/>
  <c r="F95" i="10"/>
  <c r="A88" i="10"/>
  <c r="A87" i="10"/>
  <c r="A86" i="10"/>
  <c r="A85" i="10"/>
  <c r="F84" i="10"/>
  <c r="F86" i="10" s="1"/>
  <c r="A84" i="10"/>
  <c r="A79" i="10"/>
  <c r="A78" i="10"/>
  <c r="A77" i="10"/>
  <c r="A76" i="10"/>
  <c r="F75" i="10"/>
  <c r="F77" i="10" s="1"/>
  <c r="A65" i="10"/>
  <c r="A64" i="10"/>
  <c r="A63" i="10"/>
  <c r="A62" i="10"/>
  <c r="A58" i="10"/>
  <c r="L46" i="5"/>
  <c r="C279" i="10" s="1"/>
  <c r="C78" i="10" l="1"/>
  <c r="C96" i="10"/>
  <c r="F96" i="10" s="1"/>
  <c r="C288" i="10"/>
  <c r="F288" i="10" s="1"/>
  <c r="C64" i="10"/>
  <c r="C297" i="10"/>
  <c r="F297" i="10" s="1"/>
  <c r="C87" i="10"/>
  <c r="F87" i="10" s="1"/>
  <c r="C168" i="10"/>
  <c r="F168" i="10" s="1"/>
  <c r="F63" i="10"/>
  <c r="F279" i="10"/>
  <c r="F78" i="10"/>
  <c r="C52" i="10"/>
  <c r="F45" i="10"/>
  <c r="F51" i="10" s="1"/>
  <c r="C39" i="10"/>
  <c r="C26" i="10"/>
  <c r="A40" i="10"/>
  <c r="A39" i="10"/>
  <c r="A38" i="10"/>
  <c r="A37" i="10"/>
  <c r="F32" i="10"/>
  <c r="F38" i="10" s="1"/>
  <c r="A32" i="10"/>
  <c r="F64" i="10" l="1"/>
  <c r="G18" i="11"/>
  <c r="H19" i="9"/>
  <c r="F52" i="10"/>
  <c r="F39" i="10"/>
  <c r="H14" i="9" l="1"/>
  <c r="G13" i="11"/>
  <c r="A26" i="10"/>
  <c r="A25" i="10"/>
  <c r="B292" i="10"/>
  <c r="B299" i="10" s="1"/>
  <c r="B283" i="10"/>
  <c r="B290" i="10" s="1"/>
  <c r="B245" i="10"/>
  <c r="B281" i="10" s="1"/>
  <c r="B100" i="10"/>
  <c r="B170" i="10" s="1"/>
  <c r="B91" i="10"/>
  <c r="B98" i="10" s="1"/>
  <c r="B82" i="10"/>
  <c r="B89" i="10" s="1"/>
  <c r="B68" i="10"/>
  <c r="B80" i="10" s="1"/>
  <c r="B56" i="10"/>
  <c r="B66" i="10" s="1"/>
  <c r="B43" i="10"/>
  <c r="B54" i="10" s="1"/>
  <c r="B30" i="10"/>
  <c r="B41" i="10" s="1"/>
  <c r="B13" i="10"/>
  <c r="B28" i="10" s="1"/>
  <c r="F21" i="10"/>
  <c r="F25" i="10" s="1"/>
  <c r="A300" i="10"/>
  <c r="A299" i="10"/>
  <c r="A293" i="10"/>
  <c r="A292" i="10"/>
  <c r="A291" i="10"/>
  <c r="A290" i="10"/>
  <c r="A284" i="10"/>
  <c r="A283" i="10"/>
  <c r="A282" i="10"/>
  <c r="A281" i="10"/>
  <c r="A246" i="10"/>
  <c r="A245" i="10"/>
  <c r="A171" i="10"/>
  <c r="A170" i="10"/>
  <c r="A101" i="10"/>
  <c r="A100" i="10"/>
  <c r="A99" i="10"/>
  <c r="A98" i="10"/>
  <c r="A93" i="10"/>
  <c r="A92" i="10"/>
  <c r="A91" i="10"/>
  <c r="A90" i="10"/>
  <c r="A89" i="10"/>
  <c r="A83" i="10"/>
  <c r="A82" i="10"/>
  <c r="A81" i="10"/>
  <c r="A80" i="10"/>
  <c r="A69" i="10"/>
  <c r="A68" i="10"/>
  <c r="A67" i="10"/>
  <c r="A66" i="10"/>
  <c r="A57" i="10"/>
  <c r="A41" i="10"/>
  <c r="A31" i="10"/>
  <c r="A30" i="10"/>
  <c r="A29" i="10"/>
  <c r="A28" i="10"/>
  <c r="A27" i="10"/>
  <c r="A14" i="10"/>
  <c r="A13" i="10"/>
  <c r="A12" i="10"/>
  <c r="I459" i="6"/>
  <c r="J459" i="6" s="1"/>
  <c r="J461" i="6" s="1"/>
  <c r="F31" i="5" s="1"/>
  <c r="P31" i="5" s="1"/>
  <c r="E459" i="6"/>
  <c r="F459" i="6" s="1"/>
  <c r="F461" i="6" s="1"/>
  <c r="D31" i="5" s="1"/>
  <c r="N31" i="5" s="1"/>
  <c r="A459" i="6"/>
  <c r="I451" i="6"/>
  <c r="J451" i="6" s="1"/>
  <c r="J453" i="6" s="1"/>
  <c r="F30" i="5" s="1"/>
  <c r="P30" i="5" s="1"/>
  <c r="E451" i="6"/>
  <c r="F451" i="6" s="1"/>
  <c r="F453" i="6" s="1"/>
  <c r="D30" i="5" s="1"/>
  <c r="N30" i="5" s="1"/>
  <c r="A451" i="6"/>
  <c r="I443" i="6"/>
  <c r="J443" i="6" s="1"/>
  <c r="J445" i="6" s="1"/>
  <c r="F29" i="5" s="1"/>
  <c r="P29" i="5" s="1"/>
  <c r="E443" i="6"/>
  <c r="F443" i="6" s="1"/>
  <c r="F445" i="6" s="1"/>
  <c r="D29" i="5" s="1"/>
  <c r="N29" i="5" s="1"/>
  <c r="A443" i="6"/>
  <c r="I202" i="6"/>
  <c r="J202" i="6" s="1"/>
  <c r="J204" i="6" s="1"/>
  <c r="F26" i="5" s="1"/>
  <c r="P26" i="5" s="1"/>
  <c r="E202" i="6"/>
  <c r="F202" i="6" s="1"/>
  <c r="F204" i="6" s="1"/>
  <c r="D26" i="5" s="1"/>
  <c r="N26" i="5" s="1"/>
  <c r="A202" i="6"/>
  <c r="I208" i="6"/>
  <c r="J208" i="6" s="1"/>
  <c r="J212" i="6" s="1"/>
  <c r="F27" i="5" s="1"/>
  <c r="P27" i="5" s="1"/>
  <c r="E208" i="6"/>
  <c r="F208" i="6" s="1"/>
  <c r="F212" i="6" s="1"/>
  <c r="D27" i="5" s="1"/>
  <c r="N27" i="5" s="1"/>
  <c r="J257" i="6"/>
  <c r="J259" i="6" s="1"/>
  <c r="F28" i="5" s="1"/>
  <c r="P28" i="5" s="1"/>
  <c r="F257" i="6"/>
  <c r="F259" i="6" s="1"/>
  <c r="D28" i="5" s="1"/>
  <c r="N28" i="5" s="1"/>
  <c r="I194" i="6"/>
  <c r="J194" i="6" s="1"/>
  <c r="J196" i="6" s="1"/>
  <c r="F25" i="5" s="1"/>
  <c r="P25" i="5" s="1"/>
  <c r="E194" i="6"/>
  <c r="F194" i="6" s="1"/>
  <c r="F196" i="6" s="1"/>
  <c r="D25" i="5" s="1"/>
  <c r="N25" i="5" s="1"/>
  <c r="A194" i="6"/>
  <c r="I183" i="6"/>
  <c r="J183" i="6" s="1"/>
  <c r="J185" i="6" s="1"/>
  <c r="F23" i="5" s="1"/>
  <c r="P23" i="5" s="1"/>
  <c r="E183" i="6"/>
  <c r="F183" i="6" s="1"/>
  <c r="F185" i="6" s="1"/>
  <c r="D23" i="5" s="1"/>
  <c r="N23" i="5" s="1"/>
  <c r="A183" i="6"/>
  <c r="I177" i="6"/>
  <c r="J177" i="6" s="1"/>
  <c r="J179" i="6" s="1"/>
  <c r="F22" i="5" s="1"/>
  <c r="P22" i="5" s="1"/>
  <c r="E177" i="6"/>
  <c r="F177" i="6" s="1"/>
  <c r="F179" i="6" s="1"/>
  <c r="D22" i="5" s="1"/>
  <c r="N22" i="5" s="1"/>
  <c r="A177" i="6"/>
  <c r="I171" i="6"/>
  <c r="J171" i="6" s="1"/>
  <c r="J173" i="6" s="1"/>
  <c r="F21" i="5" s="1"/>
  <c r="P21" i="5" s="1"/>
  <c r="E171" i="6"/>
  <c r="F171" i="6" s="1"/>
  <c r="F173" i="6" s="1"/>
  <c r="D21" i="5" s="1"/>
  <c r="N21" i="5" s="1"/>
  <c r="A171" i="6"/>
  <c r="J163" i="6"/>
  <c r="J165" i="6" s="1"/>
  <c r="F20" i="5" s="1"/>
  <c r="P20" i="5" s="1"/>
  <c r="F163" i="6"/>
  <c r="F165" i="6" s="1"/>
  <c r="D20" i="5" s="1"/>
  <c r="N20" i="5" s="1"/>
  <c r="A163" i="6"/>
  <c r="A137" i="6"/>
  <c r="J115" i="6"/>
  <c r="J117" i="6" s="1"/>
  <c r="F18" i="5" s="1"/>
  <c r="P18" i="5" s="1"/>
  <c r="F115" i="6"/>
  <c r="F117" i="6" s="1"/>
  <c r="D18" i="5" s="1"/>
  <c r="N18" i="5" s="1"/>
  <c r="A115" i="6"/>
  <c r="I98" i="6"/>
  <c r="J98" i="6" s="1"/>
  <c r="J100" i="6" s="1"/>
  <c r="F17" i="5" s="1"/>
  <c r="P17" i="5" s="1"/>
  <c r="E98" i="6"/>
  <c r="F98" i="6" s="1"/>
  <c r="F100" i="6" s="1"/>
  <c r="D17" i="5" s="1"/>
  <c r="N17" i="5" s="1"/>
  <c r="A98" i="6"/>
  <c r="J89" i="6"/>
  <c r="J91" i="6" s="1"/>
  <c r="F16" i="5" s="1"/>
  <c r="P16" i="5" s="1"/>
  <c r="F89" i="6"/>
  <c r="F91" i="6" s="1"/>
  <c r="D16" i="5" s="1"/>
  <c r="N16" i="5" s="1"/>
  <c r="A89" i="6"/>
  <c r="I52" i="6"/>
  <c r="J52" i="6" s="1"/>
  <c r="J54" i="6" s="1"/>
  <c r="F15" i="5" s="1"/>
  <c r="P15" i="5" s="1"/>
  <c r="E52" i="6"/>
  <c r="F52" i="6" s="1"/>
  <c r="F54" i="6" s="1"/>
  <c r="D15" i="5" s="1"/>
  <c r="N15" i="5" s="1"/>
  <c r="A52" i="6"/>
  <c r="J46" i="6"/>
  <c r="H194" i="6"/>
  <c r="H196" i="6" s="1"/>
  <c r="E25" i="5" s="1"/>
  <c r="O25" i="5" s="1"/>
  <c r="F10" i="5"/>
  <c r="E10" i="5"/>
  <c r="D10" i="5"/>
  <c r="J21" i="6"/>
  <c r="J23" i="6" s="1"/>
  <c r="F13" i="5" s="1"/>
  <c r="P13" i="5" s="1"/>
  <c r="H21" i="6"/>
  <c r="H23" i="6" s="1"/>
  <c r="E13" i="5" s="1"/>
  <c r="O13" i="5" s="1"/>
  <c r="F21" i="6"/>
  <c r="F23" i="6" s="1"/>
  <c r="D13" i="5" s="1"/>
  <c r="N13" i="5" s="1"/>
  <c r="A21" i="6"/>
  <c r="A22" i="6"/>
  <c r="A23" i="6"/>
  <c r="C37" i="5"/>
  <c r="C40" i="5"/>
  <c r="C43" i="5"/>
  <c r="B12" i="5"/>
  <c r="A12" i="5"/>
  <c r="A444" i="6"/>
  <c r="B453" i="6"/>
  <c r="B461" i="6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3" i="5"/>
  <c r="A22" i="5"/>
  <c r="A21" i="5"/>
  <c r="A20" i="5"/>
  <c r="A19" i="5"/>
  <c r="A18" i="5"/>
  <c r="A17" i="5"/>
  <c r="A16" i="5"/>
  <c r="A15" i="5"/>
  <c r="A14" i="5"/>
  <c r="A13" i="5"/>
  <c r="B34" i="5"/>
  <c r="A554" i="6"/>
  <c r="H553" i="6"/>
  <c r="E34" i="5" s="1"/>
  <c r="O34" i="5" s="1"/>
  <c r="F553" i="6"/>
  <c r="D34" i="5" s="1"/>
  <c r="N34" i="5" s="1"/>
  <c r="B553" i="6"/>
  <c r="J553" i="6"/>
  <c r="F34" i="5" s="1"/>
  <c r="P34" i="5" s="1"/>
  <c r="A483" i="6"/>
  <c r="A482" i="6"/>
  <c r="B33" i="5"/>
  <c r="B32" i="5"/>
  <c r="A481" i="6"/>
  <c r="F480" i="6"/>
  <c r="D33" i="5" s="1"/>
  <c r="N33" i="5" s="1"/>
  <c r="B480" i="6"/>
  <c r="A480" i="6"/>
  <c r="A479" i="6"/>
  <c r="J480" i="6"/>
  <c r="F33" i="5" s="1"/>
  <c r="P33" i="5" s="1"/>
  <c r="H480" i="6"/>
  <c r="E33" i="5" s="1"/>
  <c r="O33" i="5" s="1"/>
  <c r="A478" i="6"/>
  <c r="A477" i="6"/>
  <c r="A476" i="6"/>
  <c r="H475" i="6"/>
  <c r="E32" i="5" s="1"/>
  <c r="O32" i="5" s="1"/>
  <c r="B475" i="6"/>
  <c r="A475" i="6"/>
  <c r="A474" i="6"/>
  <c r="J475" i="6"/>
  <c r="F32" i="5" s="1"/>
  <c r="P32" i="5" s="1"/>
  <c r="F475" i="6"/>
  <c r="D32" i="5" s="1"/>
  <c r="N32" i="5" s="1"/>
  <c r="A464" i="6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A463" i="6"/>
  <c r="A462" i="6"/>
  <c r="A461" i="6"/>
  <c r="A460" i="6"/>
  <c r="A456" i="6"/>
  <c r="A455" i="6"/>
  <c r="A454" i="6"/>
  <c r="A453" i="6"/>
  <c r="A452" i="6"/>
  <c r="A448" i="6"/>
  <c r="A447" i="6"/>
  <c r="A446" i="6"/>
  <c r="A445" i="6"/>
  <c r="A207" i="6"/>
  <c r="A206" i="6"/>
  <c r="A205" i="6"/>
  <c r="A204" i="6"/>
  <c r="A203" i="6"/>
  <c r="A199" i="6"/>
  <c r="A198" i="6"/>
  <c r="A197" i="6"/>
  <c r="A196" i="6"/>
  <c r="A195" i="6"/>
  <c r="A193" i="6"/>
  <c r="A192" i="6"/>
  <c r="A191" i="6"/>
  <c r="A190" i="6"/>
  <c r="A189" i="6"/>
  <c r="A188" i="6"/>
  <c r="A187" i="6"/>
  <c r="A186" i="6"/>
  <c r="A185" i="6"/>
  <c r="A184" i="6"/>
  <c r="A182" i="6"/>
  <c r="A181" i="6"/>
  <c r="A180" i="6"/>
  <c r="A179" i="6"/>
  <c r="A178" i="6"/>
  <c r="A176" i="6"/>
  <c r="A175" i="6"/>
  <c r="A174" i="6"/>
  <c r="A173" i="6"/>
  <c r="A172" i="6"/>
  <c r="A168" i="6"/>
  <c r="A167" i="6"/>
  <c r="A166" i="6"/>
  <c r="A165" i="6"/>
  <c r="A164" i="6"/>
  <c r="A142" i="6"/>
  <c r="A141" i="6"/>
  <c r="A140" i="6"/>
  <c r="A139" i="6"/>
  <c r="A138" i="6"/>
  <c r="A120" i="6"/>
  <c r="A119" i="6"/>
  <c r="A118" i="6"/>
  <c r="A117" i="6"/>
  <c r="A116" i="6"/>
  <c r="A103" i="6"/>
  <c r="A102" i="6"/>
  <c r="A101" i="6"/>
  <c r="A100" i="6"/>
  <c r="A99" i="6"/>
  <c r="A94" i="6"/>
  <c r="A93" i="6"/>
  <c r="A92" i="6"/>
  <c r="A91" i="6"/>
  <c r="A90" i="6"/>
  <c r="A57" i="6"/>
  <c r="A56" i="6"/>
  <c r="A55" i="6"/>
  <c r="A54" i="6"/>
  <c r="A53" i="6"/>
  <c r="A51" i="6"/>
  <c r="A50" i="6"/>
  <c r="A49" i="6"/>
  <c r="A25" i="6"/>
  <c r="A20" i="6"/>
  <c r="A19" i="6"/>
  <c r="A18" i="6"/>
  <c r="A17" i="6"/>
  <c r="A16" i="6"/>
  <c r="A15" i="6"/>
  <c r="A14" i="6"/>
  <c r="A13" i="6"/>
  <c r="A12" i="6"/>
  <c r="B259" i="6"/>
  <c r="B212" i="6"/>
  <c r="B204" i="6"/>
  <c r="B196" i="6"/>
  <c r="B190" i="6"/>
  <c r="J190" i="6"/>
  <c r="F24" i="5" s="1"/>
  <c r="P24" i="5" s="1"/>
  <c r="H190" i="6"/>
  <c r="E24" i="5" s="1"/>
  <c r="O24" i="5" s="1"/>
  <c r="F190" i="6"/>
  <c r="D24" i="5" s="1"/>
  <c r="N24" i="5" s="1"/>
  <c r="B185" i="6"/>
  <c r="B179" i="6"/>
  <c r="B173" i="6"/>
  <c r="B165" i="6"/>
  <c r="B139" i="6"/>
  <c r="B117" i="6"/>
  <c r="B100" i="6"/>
  <c r="B91" i="6"/>
  <c r="B54" i="6"/>
  <c r="B48" i="6"/>
  <c r="B23" i="6"/>
  <c r="B7" i="2"/>
  <c r="B17" i="6"/>
  <c r="J6" i="6"/>
  <c r="B4" i="6"/>
  <c r="B6" i="6"/>
  <c r="B5" i="6"/>
  <c r="B8" i="6"/>
  <c r="B8" i="13" s="1"/>
  <c r="B6" i="5"/>
  <c r="B5" i="5"/>
  <c r="B4" i="5"/>
  <c r="I6" i="2"/>
  <c r="B6" i="2"/>
  <c r="B4" i="10" l="1"/>
  <c r="B4" i="13"/>
  <c r="B5" i="10"/>
  <c r="B5" i="13"/>
  <c r="B6" i="13"/>
  <c r="F46" i="6"/>
  <c r="F48" i="6" s="1"/>
  <c r="D14" i="5" s="1"/>
  <c r="N14" i="5" s="1"/>
  <c r="G46" i="6"/>
  <c r="H46" i="6" s="1"/>
  <c r="H48" i="6" s="1"/>
  <c r="E14" i="5" s="1"/>
  <c r="O14" i="5" s="1"/>
  <c r="H115" i="6"/>
  <c r="H117" i="6" s="1"/>
  <c r="E18" i="5" s="1"/>
  <c r="O18" i="5" s="1"/>
  <c r="G21" i="11"/>
  <c r="G29" i="11"/>
  <c r="H17" i="9"/>
  <c r="G16" i="11"/>
  <c r="G33" i="11"/>
  <c r="G26" i="11"/>
  <c r="G23" i="11"/>
  <c r="H25" i="9"/>
  <c r="H15" i="9"/>
  <c r="G14" i="11"/>
  <c r="G30" i="11"/>
  <c r="H21" i="9"/>
  <c r="G20" i="11"/>
  <c r="G28" i="11"/>
  <c r="H18" i="9"/>
  <c r="G17" i="11"/>
  <c r="G35" i="11"/>
  <c r="H37" i="9"/>
  <c r="G24" i="11"/>
  <c r="H16" i="9"/>
  <c r="G15" i="11"/>
  <c r="G32" i="11"/>
  <c r="H34" i="9"/>
  <c r="F26" i="10"/>
  <c r="F28" i="10" s="1"/>
  <c r="H89" i="6"/>
  <c r="H91" i="6" s="1"/>
  <c r="E16" i="5" s="1"/>
  <c r="O16" i="5" s="1"/>
  <c r="F137" i="6"/>
  <c r="J137" i="6"/>
  <c r="J139" i="6" s="1"/>
  <c r="F19" i="5" s="1"/>
  <c r="P19" i="5" s="1"/>
  <c r="H208" i="6"/>
  <c r="H212" i="6" s="1"/>
  <c r="E27" i="5" s="1"/>
  <c r="O27" i="5" s="1"/>
  <c r="H171" i="6"/>
  <c r="H173" i="6" s="1"/>
  <c r="E21" i="5" s="1"/>
  <c r="O21" i="5" s="1"/>
  <c r="H443" i="6"/>
  <c r="H445" i="6" s="1"/>
  <c r="E29" i="5" s="1"/>
  <c r="O29" i="5" s="1"/>
  <c r="H183" i="6"/>
  <c r="H185" i="6" s="1"/>
  <c r="E23" i="5" s="1"/>
  <c r="O23" i="5" s="1"/>
  <c r="H52" i="6"/>
  <c r="H54" i="6" s="1"/>
  <c r="E15" i="5" s="1"/>
  <c r="O15" i="5" s="1"/>
  <c r="H459" i="6"/>
  <c r="H461" i="6" s="1"/>
  <c r="E31" i="5" s="1"/>
  <c r="O31" i="5" s="1"/>
  <c r="H257" i="6"/>
  <c r="H259" i="6" s="1"/>
  <c r="E28" i="5" s="1"/>
  <c r="O28" i="5" s="1"/>
  <c r="H98" i="6"/>
  <c r="H100" i="6" s="1"/>
  <c r="E17" i="5" s="1"/>
  <c r="O17" i="5" s="1"/>
  <c r="H163" i="6"/>
  <c r="H165" i="6" s="1"/>
  <c r="E20" i="5" s="1"/>
  <c r="O20" i="5" s="1"/>
  <c r="H202" i="6"/>
  <c r="H204" i="6" s="1"/>
  <c r="E26" i="5" s="1"/>
  <c r="O26" i="5" s="1"/>
  <c r="H177" i="6"/>
  <c r="H179" i="6" s="1"/>
  <c r="E22" i="5" s="1"/>
  <c r="O22" i="5" s="1"/>
  <c r="H451" i="6"/>
  <c r="H453" i="6" s="1"/>
  <c r="E30" i="5" s="1"/>
  <c r="O30" i="5" s="1"/>
  <c r="H137" i="6"/>
  <c r="J48" i="6"/>
  <c r="F14" i="5" s="1"/>
  <c r="P14" i="5" s="1"/>
  <c r="F139" i="6" l="1"/>
  <c r="D19" i="5" s="1"/>
  <c r="N19" i="5" s="1"/>
  <c r="G12" i="11"/>
  <c r="H13" i="9"/>
  <c r="K36" i="5"/>
  <c r="H139" i="6"/>
  <c r="E19" i="5" s="1"/>
  <c r="O19" i="5" s="1"/>
  <c r="I15" i="6"/>
  <c r="J15" i="6" l="1"/>
  <c r="J558" i="6"/>
  <c r="E15" i="6"/>
  <c r="G15" i="6"/>
  <c r="H15" i="6" l="1"/>
  <c r="H558" i="6"/>
  <c r="F15" i="6"/>
  <c r="F558" i="6"/>
  <c r="J17" i="6"/>
  <c r="F12" i="5" s="1"/>
  <c r="J559" i="6" l="1"/>
  <c r="F36" i="5"/>
  <c r="P12" i="5"/>
  <c r="F17" i="6"/>
  <c r="D12" i="5" s="1"/>
  <c r="H17" i="6"/>
  <c r="E12" i="5" s="1"/>
  <c r="H559" i="6" l="1"/>
  <c r="N12" i="5"/>
  <c r="D36" i="5"/>
  <c r="F559" i="6"/>
  <c r="E36" i="5"/>
  <c r="O12" i="5"/>
  <c r="P36" i="5"/>
  <c r="F37" i="5"/>
  <c r="F39" i="5" s="1"/>
  <c r="F40" i="5" s="1"/>
  <c r="F42" i="5" s="1"/>
  <c r="F43" i="5" s="1"/>
  <c r="F45" i="5" s="1"/>
  <c r="F55" i="5" s="1"/>
  <c r="F46" i="5" l="1"/>
  <c r="F48" i="5" s="1"/>
  <c r="D37" i="5"/>
  <c r="D39" i="5" s="1"/>
  <c r="D40" i="5" s="1"/>
  <c r="D42" i="5" s="1"/>
  <c r="D43" i="5" s="1"/>
  <c r="D45" i="5" s="1"/>
  <c r="N36" i="5"/>
  <c r="E37" i="5"/>
  <c r="E39" i="5" s="1"/>
  <c r="E40" i="5" s="1"/>
  <c r="E42" i="5" s="1"/>
  <c r="E43" i="5" s="1"/>
  <c r="E45" i="5" s="1"/>
  <c r="O36" i="5"/>
  <c r="F52" i="5"/>
  <c r="F56" i="5"/>
  <c r="K48" i="5"/>
  <c r="J48" i="5"/>
  <c r="D46" i="5" l="1"/>
  <c r="D48" i="5" s="1"/>
  <c r="D55" i="5"/>
  <c r="E55" i="5"/>
  <c r="E46" i="5"/>
  <c r="E48" i="5" s="1"/>
  <c r="E56" i="5" l="1"/>
  <c r="E52" i="5"/>
  <c r="D52" i="5"/>
  <c r="D56" i="5"/>
</calcChain>
</file>

<file path=xl/sharedStrings.xml><?xml version="1.0" encoding="utf-8"?>
<sst xmlns="http://schemas.openxmlformats.org/spreadsheetml/2006/main" count="2178" uniqueCount="880">
  <si>
    <t>BASIS OF ESTIMATE (B.O.E.)</t>
  </si>
  <si>
    <t>Estimate does excludes the following</t>
  </si>
  <si>
    <t>Design fee</t>
  </si>
  <si>
    <t>Overtime cost</t>
  </si>
  <si>
    <t>Description</t>
  </si>
  <si>
    <t>Amount</t>
  </si>
  <si>
    <t>-</t>
  </si>
  <si>
    <t xml:space="preserve">Unit </t>
  </si>
  <si>
    <t>Construction Schedule</t>
  </si>
  <si>
    <t>Construction State Date</t>
  </si>
  <si>
    <t>Construction Mid Point Date</t>
  </si>
  <si>
    <t>Construction End Date</t>
  </si>
  <si>
    <t>Environmental Abatements</t>
  </si>
  <si>
    <t>Artwork, Graphics, Banners and Flags</t>
  </si>
  <si>
    <t xml:space="preserve">Rock Excavation </t>
  </si>
  <si>
    <t>Dewatering</t>
  </si>
  <si>
    <t>Signage &amp; Painting</t>
  </si>
  <si>
    <t>a.</t>
  </si>
  <si>
    <t>b.</t>
  </si>
  <si>
    <t>c.</t>
  </si>
  <si>
    <t>d.</t>
  </si>
  <si>
    <t>e.</t>
  </si>
  <si>
    <t>f.</t>
  </si>
  <si>
    <t>g.</t>
  </si>
  <si>
    <t>h.</t>
  </si>
  <si>
    <t>Markups</t>
  </si>
  <si>
    <t>The following Markups are included</t>
  </si>
  <si>
    <t>General Conditions</t>
  </si>
  <si>
    <t>Design Contingency</t>
  </si>
  <si>
    <t>Escalation to the Midpoint</t>
  </si>
  <si>
    <t>SUMMARY OF TRADES</t>
  </si>
  <si>
    <t>LS</t>
  </si>
  <si>
    <t>Subtotal 1</t>
  </si>
  <si>
    <t>Subtotal 2</t>
  </si>
  <si>
    <t>Subtotal 3</t>
  </si>
  <si>
    <t>Total CONSTRUCTION Cost</t>
  </si>
  <si>
    <t>Project Areas &amp; Scope</t>
  </si>
  <si>
    <t>01-00-00 General Requirements</t>
  </si>
  <si>
    <t>02-00-00 Existing Conditions</t>
  </si>
  <si>
    <t>03-00-00 Concrete</t>
  </si>
  <si>
    <t>04-00-00 Masonry</t>
  </si>
  <si>
    <t>05-00-00 Metals</t>
  </si>
  <si>
    <t>06-00-00 Wood, Plastics, &amp; Composites</t>
  </si>
  <si>
    <t>07-00-00 Thermal and Moisture Protection</t>
  </si>
  <si>
    <t>08-00-00 Openings</t>
  </si>
  <si>
    <t>09-00-00 Finishes</t>
  </si>
  <si>
    <t>11-00-00 Equipments</t>
  </si>
  <si>
    <t>10-00-00 Specialties</t>
  </si>
  <si>
    <t>12-00-00 Furnishings</t>
  </si>
  <si>
    <t>13-00-00 Special Construction</t>
  </si>
  <si>
    <t>14-00-00 Elevators</t>
  </si>
  <si>
    <t>21-00-00 Fire Suppression</t>
  </si>
  <si>
    <t>22-00-00 Plumbing</t>
  </si>
  <si>
    <t>23-00-00 Heating, Ventilation, &amp; Air Conditioning (HVAC)</t>
  </si>
  <si>
    <t>26-00-00 Electrical</t>
  </si>
  <si>
    <t>27-00-00 Communications</t>
  </si>
  <si>
    <t>28-00-00 Electronic Safety &amp; Security</t>
  </si>
  <si>
    <t>31-00-00 Earthwork</t>
  </si>
  <si>
    <t>32-00-00 Exterior Improvements</t>
  </si>
  <si>
    <t>33-00-00 Utilities</t>
  </si>
  <si>
    <t>The End</t>
  </si>
  <si>
    <t>General Contractor's Overhead &amp; Profit</t>
  </si>
  <si>
    <t>Escalation to (Midpoint of Construction)</t>
  </si>
  <si>
    <t>General Contractor's Office Overhead &amp; Profit</t>
  </si>
  <si>
    <t>Site General Conditions - 10%</t>
  </si>
  <si>
    <t>COLLEGE OF TECHNOLOGY AT FARMINGDALE</t>
  </si>
  <si>
    <t>SCHOOL OF APPLIED SOCIAL SCIENCES</t>
  </si>
  <si>
    <t>NET ZERO CARBON STUDY</t>
  </si>
  <si>
    <t>SCC Concept Estimate is based on the following documents prepared by Urbahn Architects</t>
  </si>
  <si>
    <t>Net Zero Carbon Study- Draft Report dated 12/23/2020</t>
  </si>
  <si>
    <t>Option-1: Centralized Ground Source HVAC</t>
  </si>
  <si>
    <t>Option-2: Centralized Air Source HVAC</t>
  </si>
  <si>
    <t>Option-3: Distributed Heat Pump System</t>
  </si>
  <si>
    <t>Escalation Rate 3.75% per year</t>
  </si>
  <si>
    <t>Total Gross Area in SF</t>
  </si>
  <si>
    <t>Option-1</t>
  </si>
  <si>
    <t>Option-2</t>
  </si>
  <si>
    <t>Option-3</t>
  </si>
  <si>
    <t>Unit Price</t>
  </si>
  <si>
    <t>Quantity</t>
  </si>
  <si>
    <t>Bid Contingency</t>
  </si>
  <si>
    <t>Total CONSTRUCTION Cost w/Bid Contingency</t>
  </si>
  <si>
    <t>Cost per GSF w/Bid Contingency</t>
  </si>
  <si>
    <t>Construction Cost per GSF</t>
  </si>
  <si>
    <t>Construction contingency</t>
  </si>
  <si>
    <t>SUCF Project #26325</t>
  </si>
  <si>
    <t>Farmingdale, New York</t>
  </si>
  <si>
    <t>Concept Estimate</t>
  </si>
  <si>
    <t>Concrete Construction</t>
  </si>
  <si>
    <t>SF</t>
  </si>
  <si>
    <t>Masonry Construction</t>
  </si>
  <si>
    <t>Steel Construction</t>
  </si>
  <si>
    <t xml:space="preserve"> Rough carpentry</t>
  </si>
  <si>
    <t>Wall, Floor &amp; Ceiling finishes</t>
  </si>
  <si>
    <t>Toilet partitions, Accessories &amp; Signage</t>
  </si>
  <si>
    <t>Equipment</t>
  </si>
  <si>
    <t>Furnishings</t>
  </si>
  <si>
    <t>Conveying System</t>
  </si>
  <si>
    <t>HVAC</t>
  </si>
  <si>
    <t>Plumbing</t>
  </si>
  <si>
    <t>Fire Protection</t>
  </si>
  <si>
    <t>Telecom</t>
  </si>
  <si>
    <t>Fire Alarm &amp; Security</t>
  </si>
  <si>
    <t>Electrical &amp; AV</t>
  </si>
  <si>
    <r>
      <rPr>
        <sz val="8.5"/>
        <color rgb="FF161616"/>
        <rFont val="Times New Roman"/>
        <family val="1"/>
      </rPr>
      <t xml:space="preserve">Kitchen faucet: 1.5 gpm
</t>
    </r>
    <r>
      <rPr>
        <sz val="8.5"/>
        <color rgb="FF161616"/>
        <rFont val="Times New Roman"/>
        <family val="1"/>
      </rPr>
      <t>Restroom faucet 0.35 gpm Shower</t>
    </r>
    <r>
      <rPr>
        <sz val="8.5"/>
        <color rgb="FF363636"/>
        <rFont val="Times New Roman"/>
        <family val="1"/>
      </rPr>
      <t xml:space="preserve">: </t>
    </r>
    <r>
      <rPr>
        <sz val="8.5"/>
        <color rgb="FF030303"/>
        <rFont val="Times New Roman"/>
        <family val="1"/>
      </rPr>
      <t xml:space="preserve">1.5 </t>
    </r>
    <r>
      <rPr>
        <sz val="8.5"/>
        <color rgb="FF161616"/>
        <rFont val="Times New Roman"/>
        <family val="1"/>
      </rPr>
      <t>gpm</t>
    </r>
  </si>
  <si>
    <r>
      <rPr>
        <sz val="8.5"/>
        <color rgb="FF030303"/>
        <rFont val="Times New Roman"/>
        <family val="1"/>
      </rPr>
      <t xml:space="preserve">Upgrade </t>
    </r>
    <r>
      <rPr>
        <sz val="8.5"/>
        <color rgb="FF161616"/>
        <rFont val="Times New Roman"/>
        <family val="1"/>
      </rPr>
      <t xml:space="preserve">to </t>
    </r>
    <r>
      <rPr>
        <sz val="8.5"/>
        <color rgb="FF030303"/>
        <rFont val="Times New Roman"/>
        <family val="1"/>
      </rPr>
      <t xml:space="preserve">low </t>
    </r>
    <r>
      <rPr>
        <sz val="8.5"/>
        <color rgb="FF161616"/>
        <rFont val="Times New Roman"/>
        <family val="1"/>
      </rPr>
      <t xml:space="preserve">flow faucets and fixtures </t>
    </r>
    <r>
      <rPr>
        <sz val="7.5"/>
        <color rgb="FF161616"/>
        <rFont val="Times New Roman"/>
        <family val="1"/>
      </rPr>
      <t xml:space="preserve">to </t>
    </r>
    <r>
      <rPr>
        <sz val="8.5"/>
        <color rgb="FF161616"/>
        <rFont val="Times New Roman"/>
        <family val="1"/>
      </rPr>
      <t xml:space="preserve">conserve water and reduce DHW </t>
    </r>
    <r>
      <rPr>
        <sz val="8.5"/>
        <color rgb="FF030303"/>
        <rFont val="Times New Roman"/>
        <family val="1"/>
      </rPr>
      <t>loads.</t>
    </r>
  </si>
  <si>
    <r>
      <rPr>
        <sz val="8.5"/>
        <color rgb="FF161616"/>
        <rFont val="Times New Roman"/>
        <family val="1"/>
      </rPr>
      <t xml:space="preserve">Low Flow Faucets </t>
    </r>
    <r>
      <rPr>
        <sz val="7.5"/>
        <color rgb="FF161616"/>
        <rFont val="Times New Roman"/>
        <family val="1"/>
      </rPr>
      <t xml:space="preserve">&amp; </t>
    </r>
    <r>
      <rPr>
        <sz val="8.5"/>
        <color rgb="FF161616"/>
        <rFont val="Times New Roman"/>
        <family val="1"/>
      </rPr>
      <t>Fixtures</t>
    </r>
  </si>
  <si>
    <r>
      <rPr>
        <b/>
        <sz val="9"/>
        <color rgb="FF030303"/>
        <rFont val="Times New Roman"/>
        <family val="1"/>
      </rPr>
      <t>Water</t>
    </r>
  </si>
  <si>
    <r>
      <rPr>
        <sz val="8.5"/>
        <color rgb="FF161616"/>
        <rFont val="Times New Roman"/>
        <family val="1"/>
      </rPr>
      <t>Relax setpoints</t>
    </r>
  </si>
  <si>
    <r>
      <rPr>
        <sz val="8.5"/>
        <color rgb="FF161616"/>
        <rFont val="Times New Roman"/>
        <family val="1"/>
      </rPr>
      <t xml:space="preserve">Relax setpoints in transient spaces (corridors) from heating and cooling setpoints of 72F </t>
    </r>
    <r>
      <rPr>
        <sz val="8.5"/>
        <color rgb="FF363636"/>
        <rFont val="Times New Roman"/>
        <family val="1"/>
      </rPr>
      <t>a</t>
    </r>
    <r>
      <rPr>
        <sz val="8.5"/>
        <color rgb="FF030303"/>
        <rFont val="Times New Roman"/>
        <family val="1"/>
      </rPr>
      <t xml:space="preserve">nd </t>
    </r>
    <r>
      <rPr>
        <sz val="8.5"/>
        <color rgb="FF161616"/>
        <rFont val="Times New Roman"/>
        <family val="1"/>
      </rPr>
      <t>75F to 68F and 80F.</t>
    </r>
  </si>
  <si>
    <r>
      <rPr>
        <sz val="8.5"/>
        <color rgb="FF161616"/>
        <rFont val="Times New Roman"/>
        <family val="1"/>
      </rPr>
      <t>Applicable to all spaces</t>
    </r>
  </si>
  <si>
    <r>
      <rPr>
        <sz val="8.5"/>
        <color rgb="FF161616"/>
        <rFont val="Times New Roman"/>
        <family val="1"/>
      </rPr>
      <t>Where required by code</t>
    </r>
  </si>
  <si>
    <r>
      <rPr>
        <sz val="8.5"/>
        <color rgb="FF161616"/>
        <rFont val="Times New Roman"/>
        <family val="1"/>
      </rPr>
      <t xml:space="preserve">Add demand control ventilation to reduce heating and cooling </t>
    </r>
    <r>
      <rPr>
        <sz val="8.5"/>
        <color rgb="FF030303"/>
        <rFont val="Times New Roman"/>
        <family val="1"/>
      </rPr>
      <t xml:space="preserve">loads </t>
    </r>
    <r>
      <rPr>
        <sz val="8.5"/>
        <color rgb="FF363636"/>
        <rFont val="Times New Roman"/>
        <family val="1"/>
      </rPr>
      <t>.</t>
    </r>
  </si>
  <si>
    <r>
      <rPr>
        <sz val="8.5"/>
        <color rgb="FF161616"/>
        <rFont val="Times New Roman"/>
        <family val="1"/>
      </rPr>
      <t>Demand Control Ventilation</t>
    </r>
  </si>
  <si>
    <r>
      <rPr>
        <b/>
        <sz val="8.5"/>
        <color rgb="FF030303"/>
        <rFont val="Times New Roman"/>
        <family val="1"/>
      </rPr>
      <t>Controls</t>
    </r>
  </si>
  <si>
    <r>
      <rPr>
        <sz val="8.5"/>
        <color rgb="FF161616"/>
        <rFont val="Times New Roman"/>
        <family val="1"/>
      </rPr>
      <t xml:space="preserve">Provide HVAC with performance that </t>
    </r>
    <r>
      <rPr>
        <sz val="8.5"/>
        <color rgb="FF030303"/>
        <rFont val="Times New Roman"/>
        <family val="1"/>
      </rPr>
      <t xml:space="preserve">is </t>
    </r>
    <r>
      <rPr>
        <sz val="8.5"/>
        <color rgb="FF161616"/>
        <rFont val="Times New Roman"/>
        <family val="1"/>
      </rPr>
      <t xml:space="preserve">at </t>
    </r>
    <r>
      <rPr>
        <sz val="8.5"/>
        <color rgb="FF030303"/>
        <rFont val="Times New Roman"/>
        <family val="1"/>
      </rPr>
      <t xml:space="preserve">least </t>
    </r>
    <r>
      <rPr>
        <sz val="8.5"/>
        <color rgb="FF161616"/>
        <rFont val="Times New Roman"/>
        <family val="1"/>
      </rPr>
      <t>10% better than code</t>
    </r>
  </si>
  <si>
    <r>
      <rPr>
        <sz val="8.5"/>
        <color rgb="FF161616"/>
        <rFont val="Times New Roman"/>
        <family val="1"/>
      </rPr>
      <t>Minimum efficiency requirements for HYAC</t>
    </r>
  </si>
  <si>
    <r>
      <rPr>
        <sz val="8.5"/>
        <color rgb="FF161616"/>
        <rFont val="Times New Roman"/>
        <family val="1"/>
      </rPr>
      <t xml:space="preserve">Air-cooled chiller and electric boiler serving a condenser water </t>
    </r>
    <r>
      <rPr>
        <sz val="8.5"/>
        <color rgb="FF030303"/>
        <rFont val="Times New Roman"/>
        <family val="1"/>
      </rPr>
      <t>loop</t>
    </r>
    <r>
      <rPr>
        <sz val="8.5"/>
        <color rgb="FF545454"/>
        <rFont val="Times New Roman"/>
        <family val="1"/>
      </rPr>
      <t xml:space="preserve">. </t>
    </r>
    <r>
      <rPr>
        <sz val="8.5"/>
        <color rgb="FF161616"/>
        <rFont val="Times New Roman"/>
        <family val="1"/>
      </rPr>
      <t xml:space="preserve">Condenser </t>
    </r>
    <r>
      <rPr>
        <sz val="8.5"/>
        <color rgb="FF030303"/>
        <rFont val="Times New Roman"/>
        <family val="1"/>
      </rPr>
      <t xml:space="preserve">loop </t>
    </r>
    <r>
      <rPr>
        <sz val="8.5"/>
        <color rgb="FF161616"/>
        <rFont val="Times New Roman"/>
        <family val="1"/>
      </rPr>
      <t>serves distributed heat pumps conditioning spaces+ DOAS</t>
    </r>
  </si>
  <si>
    <r>
      <rPr>
        <sz val="8.5"/>
        <color rgb="FF161616"/>
        <rFont val="Times New Roman"/>
        <family val="1"/>
      </rPr>
      <t xml:space="preserve">Centralized ASHP (air-cooled HR chiller) </t>
    </r>
    <r>
      <rPr>
        <sz val="8.5"/>
        <color rgb="FF030303"/>
        <rFont val="Times New Roman"/>
        <family val="1"/>
      </rPr>
      <t xml:space="preserve">+ </t>
    </r>
    <r>
      <rPr>
        <sz val="8.5"/>
        <color rgb="FF161616"/>
        <rFont val="Times New Roman"/>
        <family val="1"/>
      </rPr>
      <t>central AHU, VAV w</t>
    </r>
    <r>
      <rPr>
        <sz val="8.5"/>
        <color rgb="FF363636"/>
        <rFont val="Times New Roman"/>
        <family val="1"/>
      </rPr>
      <t xml:space="preserve">/ </t>
    </r>
    <r>
      <rPr>
        <sz val="8.5"/>
        <color rgb="FF161616"/>
        <rFont val="Times New Roman"/>
        <family val="1"/>
      </rPr>
      <t>reheat (hydro)</t>
    </r>
  </si>
  <si>
    <r>
      <rPr>
        <sz val="8.5"/>
        <color rgb="FF161616"/>
        <rFont val="Times New Roman"/>
        <family val="1"/>
      </rPr>
      <t xml:space="preserve">Provide HYAC with performance that is at </t>
    </r>
    <r>
      <rPr>
        <sz val="8.5"/>
        <color rgb="FF030303"/>
        <rFont val="Times New Roman"/>
        <family val="1"/>
      </rPr>
      <t>le</t>
    </r>
    <r>
      <rPr>
        <sz val="8.5"/>
        <color rgb="FF363636"/>
        <rFont val="Times New Roman"/>
        <family val="1"/>
      </rPr>
      <t>a</t>
    </r>
    <r>
      <rPr>
        <sz val="8.5"/>
        <color rgb="FF161616"/>
        <rFont val="Times New Roman"/>
        <family val="1"/>
      </rPr>
      <t>st 10% better than code</t>
    </r>
  </si>
  <si>
    <r>
      <rPr>
        <sz val="8.5"/>
        <color rgb="FF161616"/>
        <rFont val="Times New Roman"/>
        <family val="1"/>
      </rPr>
      <t xml:space="preserve">Centralized GSHP (HR chiller) </t>
    </r>
    <r>
      <rPr>
        <sz val="8.5"/>
        <color rgb="FF030303"/>
        <rFont val="Times New Roman"/>
        <family val="1"/>
      </rPr>
      <t xml:space="preserve">+ </t>
    </r>
    <r>
      <rPr>
        <sz val="8.5"/>
        <color rgb="FF161616"/>
        <rFont val="Times New Roman"/>
        <family val="1"/>
      </rPr>
      <t>central AHU, VAV w/reheat (hydro)</t>
    </r>
  </si>
  <si>
    <r>
      <rPr>
        <sz val="8.5"/>
        <color rgb="FF161616"/>
        <rFont val="Times New Roman"/>
        <family val="1"/>
      </rPr>
      <t>Centralized GS HVAC</t>
    </r>
  </si>
  <si>
    <r>
      <rPr>
        <b/>
        <sz val="8.5"/>
        <color rgb="FF030303"/>
        <rFont val="Times New Roman"/>
        <family val="1"/>
      </rPr>
      <t>HVAC</t>
    </r>
  </si>
  <si>
    <r>
      <rPr>
        <sz val="8.5"/>
        <color rgb="FF131313"/>
        <rFont val="Times New Roman"/>
        <family val="1"/>
      </rPr>
      <t xml:space="preserve">Need feedback from IT consultant </t>
    </r>
    <r>
      <rPr>
        <sz val="8.5"/>
        <color rgb="FF383838"/>
        <rFont val="Times New Roman"/>
        <family val="1"/>
      </rPr>
      <t xml:space="preserve">/ </t>
    </r>
    <r>
      <rPr>
        <sz val="8.5"/>
        <color rgb="FF131313"/>
        <rFont val="Times New Roman"/>
        <family val="1"/>
      </rPr>
      <t>ownership: what level of reduction is feasible (if any)?</t>
    </r>
  </si>
  <si>
    <r>
      <rPr>
        <sz val="8.5"/>
        <color rgb="FF131313"/>
        <rFont val="Times New Roman"/>
        <family val="1"/>
      </rPr>
      <t>Reduced datacenter load by 15%</t>
    </r>
  </si>
  <si>
    <r>
      <rPr>
        <sz val="8.5"/>
        <color rgb="FF131313"/>
        <rFont val="Times New Roman"/>
        <family val="1"/>
      </rPr>
      <t>NR</t>
    </r>
  </si>
  <si>
    <r>
      <rPr>
        <sz val="8.5"/>
        <color rgb="FF131313"/>
        <rFont val="Times New Roman"/>
        <family val="1"/>
      </rPr>
      <t xml:space="preserve">Reduce Data Center energy usage by 15% through strategies involving consolidating IT system redundancies, upgrading Energy Star certified
</t>
    </r>
    <r>
      <rPr>
        <sz val="8.5"/>
        <color rgb="FF131313"/>
        <rFont val="Times New Roman"/>
        <family val="1"/>
      </rPr>
      <t>servers, and migrating to a cloud service.</t>
    </r>
  </si>
  <si>
    <r>
      <rPr>
        <sz val="8.5"/>
        <color rgb="FF131313"/>
        <rFont val="Times New Roman"/>
        <family val="1"/>
      </rPr>
      <t>Reduce Data Center by 15%</t>
    </r>
  </si>
  <si>
    <r>
      <rPr>
        <b/>
        <sz val="8"/>
        <color rgb="FF131313"/>
        <rFont val="Times New Roman"/>
        <family val="1"/>
      </rPr>
      <t>Data Center</t>
    </r>
  </si>
  <si>
    <r>
      <rPr>
        <sz val="8.5"/>
        <color rgb="FF131313"/>
        <rFont val="Times New Roman"/>
        <family val="1"/>
      </rPr>
      <t xml:space="preserve">20% Equipment Power Density reduction, or equivalent reduction in the amount of time
</t>
    </r>
    <r>
      <rPr>
        <sz val="8.5"/>
        <color rgb="FF131313"/>
        <rFont val="Times New Roman"/>
        <family val="1"/>
      </rPr>
      <t>plug loads are on</t>
    </r>
  </si>
  <si>
    <r>
      <rPr>
        <sz val="8.5"/>
        <color rgb="FF131313"/>
        <rFont val="Times New Roman"/>
        <family val="1"/>
      </rPr>
      <t>Reduce effective space load by 20%,e</t>
    </r>
    <r>
      <rPr>
        <sz val="8.5"/>
        <color rgb="FF4B4B4B"/>
        <rFont val="Times New Roman"/>
        <family val="1"/>
      </rPr>
      <t>.</t>
    </r>
    <r>
      <rPr>
        <sz val="8.5"/>
        <color rgb="FF131313"/>
        <rFont val="Times New Roman"/>
        <family val="1"/>
      </rPr>
      <t>g. by limiting the amount of time that equipment not in use is on</t>
    </r>
  </si>
  <si>
    <r>
      <rPr>
        <sz val="8.5"/>
        <color rgb="FF131313"/>
        <rFont val="Times New Roman"/>
        <family val="1"/>
      </rPr>
      <t>Load reduction</t>
    </r>
  </si>
  <si>
    <r>
      <rPr>
        <sz val="8.5"/>
        <color rgb="FF131313"/>
        <rFont val="Times New Roman"/>
        <family val="1"/>
      </rPr>
      <t xml:space="preserve">50% of 125 V receptacles in applicable spaces to be off20 mins </t>
    </r>
    <r>
      <rPr>
        <sz val="8.5"/>
        <color rgb="FF2A2A2A"/>
        <rFont val="Times New Roman"/>
        <family val="1"/>
      </rPr>
      <t xml:space="preserve">after </t>
    </r>
    <r>
      <rPr>
        <sz val="8.5"/>
        <color rgb="FF131313"/>
        <rFont val="Times New Roman"/>
        <family val="1"/>
      </rPr>
      <t>occupants leave space</t>
    </r>
  </si>
  <si>
    <r>
      <rPr>
        <sz val="8.5"/>
        <color rgb="FF131313"/>
        <rFont val="Times New Roman"/>
        <family val="1"/>
      </rPr>
      <t>Add controllable outlets to manage plug loads to comply with ASHRAE 90.1- 2016 requirements.</t>
    </r>
  </si>
  <si>
    <r>
      <rPr>
        <sz val="8.5"/>
        <color rgb="FF131313"/>
        <rFont val="Times New Roman"/>
        <family val="1"/>
      </rPr>
      <t>Plug Load Control</t>
    </r>
  </si>
  <si>
    <r>
      <rPr>
        <b/>
        <sz val="9"/>
        <color rgb="FF131313"/>
        <rFont val="Times New Roman"/>
        <family val="1"/>
      </rPr>
      <t>Plug Loads</t>
    </r>
  </si>
  <si>
    <r>
      <rPr>
        <sz val="8.5"/>
        <color rgb="FF131313"/>
        <rFont val="Times New Roman"/>
        <family val="1"/>
      </rPr>
      <t>20-30% improvement from total lighting load (inclusive of code exemptions</t>
    </r>
    <r>
      <rPr>
        <sz val="8.5"/>
        <color rgb="FF383838"/>
        <rFont val="Times New Roman"/>
        <family val="1"/>
      </rPr>
      <t xml:space="preserve">/ </t>
    </r>
    <r>
      <rPr>
        <sz val="8.5"/>
        <color rgb="FF131313"/>
        <rFont val="Times New Roman"/>
        <family val="1"/>
      </rPr>
      <t>allowances)</t>
    </r>
  </si>
  <si>
    <r>
      <rPr>
        <sz val="8.5"/>
        <color rgb="FF131313"/>
        <rFont val="Times New Roman"/>
        <family val="1"/>
      </rPr>
      <t>Total lighting load (inclusive of code exemptions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>allowances)</t>
    </r>
  </si>
  <si>
    <r>
      <rPr>
        <sz val="8.5"/>
        <color rgb="FF131313"/>
        <rFont val="Times New Roman"/>
        <family val="1"/>
      </rPr>
      <t>Optimize exterior lighting layout to achieve 20-30% better than 100% CD baseline</t>
    </r>
  </si>
  <si>
    <r>
      <rPr>
        <sz val="8.5"/>
        <color rgb="FF131313"/>
        <rFont val="Times New Roman"/>
        <family val="1"/>
      </rPr>
      <t>Upgrade exterior lighting to be 20-30% better than baseline</t>
    </r>
  </si>
  <si>
    <r>
      <rPr>
        <sz val="8.5"/>
        <color rgb="FF131313"/>
        <rFont val="Times New Roman"/>
        <family val="1"/>
      </rPr>
      <t>To meet goal</t>
    </r>
    <r>
      <rPr>
        <sz val="8.5"/>
        <color rgb="FF383838"/>
        <rFont val="Times New Roman"/>
        <family val="1"/>
      </rPr>
      <t xml:space="preserve">, </t>
    </r>
    <r>
      <rPr>
        <sz val="8.5"/>
        <color rgb="FF131313"/>
        <rFont val="Times New Roman"/>
        <family val="1"/>
      </rPr>
      <t xml:space="preserve">the following will be required to ensure both energy efficient and visually </t>
    </r>
    <r>
      <rPr>
        <sz val="8.5"/>
        <color rgb="FF2A2A2A"/>
        <rFont val="Times New Roman"/>
        <family val="1"/>
      </rPr>
      <t xml:space="preserve">viable </t>
    </r>
    <r>
      <rPr>
        <sz val="8.5"/>
        <color rgb="FF131313"/>
        <rFont val="Times New Roman"/>
        <family val="1"/>
      </rPr>
      <t xml:space="preserve">results:
</t>
    </r>
    <r>
      <rPr>
        <sz val="8.5"/>
        <color rgb="FF4B4B4B"/>
        <rFont val="Times New Roman"/>
        <family val="1"/>
      </rPr>
      <t>-</t>
    </r>
    <r>
      <rPr>
        <sz val="8.5"/>
        <color rgb="FF131313"/>
        <rFont val="Times New Roman"/>
        <family val="1"/>
      </rPr>
      <t>Downward revision of Classroom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 xml:space="preserve">Meeting  Rm./Training Rm. </t>
    </r>
    <r>
      <rPr>
        <sz val="8.5"/>
        <color rgb="FF2A2A2A"/>
        <rFont val="Times New Roman"/>
        <family val="1"/>
      </rPr>
      <t xml:space="preserve">avg. </t>
    </r>
    <r>
      <rPr>
        <sz val="8.5"/>
        <color rgb="FF131313"/>
        <rFont val="Times New Roman"/>
        <family val="1"/>
      </rPr>
      <t xml:space="preserve">maintained lighting criteria from 40fc to 30-35fc.
</t>
    </r>
    <r>
      <rPr>
        <sz val="8.5"/>
        <color rgb="FF383838"/>
        <rFont val="Times New Roman"/>
        <family val="1"/>
      </rPr>
      <t xml:space="preserve">-   </t>
    </r>
    <r>
      <rPr>
        <sz val="8.5"/>
        <color rgb="FF131313"/>
        <rFont val="Times New Roman"/>
        <family val="1"/>
      </rPr>
      <t xml:space="preserve">Utilization of higher reflectance (+83%) lay in ceiling tile modules (Armstrong </t>
    </r>
    <r>
      <rPr>
        <sz val="8.5"/>
        <color rgb="FF2A2A2A"/>
        <rFont val="Times New Roman"/>
        <family val="1"/>
      </rPr>
      <t xml:space="preserve">Calla, </t>
    </r>
    <r>
      <rPr>
        <sz val="8.5"/>
        <color rgb="FF131313"/>
        <rFont val="Times New Roman"/>
        <family val="1"/>
      </rPr>
      <t xml:space="preserve">Ultima, Lyra, Optima)
</t>
    </r>
    <r>
      <rPr>
        <sz val="8.5"/>
        <color rgb="FF383838"/>
        <rFont val="Times New Roman"/>
        <family val="1"/>
      </rPr>
      <t xml:space="preserve">-  </t>
    </r>
    <r>
      <rPr>
        <sz val="8.5"/>
        <color rgb="FF131313"/>
        <rFont val="Times New Roman"/>
        <family val="1"/>
      </rPr>
      <t>Changing  furniture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 xml:space="preserve">table top specifications in offices and classrooms to employ lighter value 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 xml:space="preserve">higher reflectance materials (i.e. white or very light colors)
</t>
    </r>
    <r>
      <rPr>
        <sz val="8.5"/>
        <color rgb="FF606060"/>
        <rFont val="Times New Roman"/>
        <family val="1"/>
      </rPr>
      <t xml:space="preserve">-   </t>
    </r>
    <r>
      <rPr>
        <sz val="8.5"/>
        <color rgb="FF131313"/>
        <rFont val="Times New Roman"/>
        <family val="1"/>
      </rPr>
      <t xml:space="preserve">Re-specificationof most currently specified LED products to reflect higher efficacies
</t>
    </r>
    <r>
      <rPr>
        <sz val="8.5"/>
        <color rgb="FF606060"/>
        <rFont val="Times New Roman"/>
        <family val="1"/>
      </rPr>
      <t xml:space="preserve">-   </t>
    </r>
    <r>
      <rPr>
        <sz val="8.5"/>
        <color rgb="FF131313"/>
        <rFont val="Times New Roman"/>
        <family val="1"/>
      </rPr>
      <t xml:space="preserve">Re-specification of the currently designed 0-lOV lighting control system to reflect the use of the DALI (Digital Addressable Lighting Interface) based or comparable control system to allow for a Lumen Maintenance control protocol to be introduced
</t>
    </r>
    <r>
      <rPr>
        <sz val="8.5"/>
        <color rgb="FF606060"/>
        <rFont val="Times New Roman"/>
        <family val="1"/>
      </rPr>
      <t xml:space="preserve">-  </t>
    </r>
    <r>
      <rPr>
        <sz val="8.5"/>
        <color rgb="FF131313"/>
        <rFont val="Times New Roman"/>
        <family val="1"/>
      </rPr>
      <t xml:space="preserve">Con figuration of local controls in Offices and </t>
    </r>
    <r>
      <rPr>
        <sz val="8.5"/>
        <color rgb="FF2A2A2A"/>
        <rFont val="Times New Roman"/>
        <family val="1"/>
      </rPr>
      <t xml:space="preserve">Classrooms </t>
    </r>
    <r>
      <rPr>
        <sz val="8.5"/>
        <color rgb="FF131313"/>
        <rFont val="Times New Roman"/>
        <family val="1"/>
      </rPr>
      <t xml:space="preserve">to prevent </t>
    </r>
    <r>
      <rPr>
        <sz val="8.5"/>
        <color rgb="FF2A2A2A"/>
        <rFont val="Times New Roman"/>
        <family val="1"/>
      </rPr>
      <t xml:space="preserve">activation </t>
    </r>
    <r>
      <rPr>
        <sz val="8.5"/>
        <color rgb="FF131313"/>
        <rFont val="Times New Roman"/>
        <family val="1"/>
      </rPr>
      <t xml:space="preserve">of artificial lighting systems when </t>
    </r>
    <r>
      <rPr>
        <sz val="8.5"/>
        <color rgb="FF2A2A2A"/>
        <rFont val="Times New Roman"/>
        <family val="1"/>
      </rPr>
      <t xml:space="preserve">average </t>
    </r>
    <r>
      <rPr>
        <sz val="8.5"/>
        <color rgb="FF131313"/>
        <rFont val="Times New Roman"/>
        <family val="1"/>
      </rPr>
      <t>daylight levels in these rooms are above an average of 40fc</t>
    </r>
  </si>
  <si>
    <r>
      <rPr>
        <sz val="8.5"/>
        <color rgb="FF131313"/>
        <rFont val="Times New Roman"/>
        <family val="1"/>
      </rPr>
      <t>20-30% improvement from total lighting load (inclusive of code exemptions/ allowances)</t>
    </r>
  </si>
  <si>
    <r>
      <rPr>
        <sz val="8.5"/>
        <color rgb="FF131313"/>
        <rFont val="Times New Roman"/>
        <family val="1"/>
      </rPr>
      <t xml:space="preserve">Optimize interior lighting layout to </t>
    </r>
    <r>
      <rPr>
        <sz val="8.5"/>
        <color rgb="FF2A2A2A"/>
        <rFont val="Times New Roman"/>
        <family val="1"/>
      </rPr>
      <t xml:space="preserve">achieve </t>
    </r>
    <r>
      <rPr>
        <sz val="8.5"/>
        <color rgb="FF131313"/>
        <rFont val="Times New Roman"/>
        <family val="1"/>
      </rPr>
      <t>20-30% better than 100% CD baseline</t>
    </r>
  </si>
  <si>
    <r>
      <rPr>
        <sz val="8.5"/>
        <color rgb="FF131313"/>
        <rFont val="Times New Roman"/>
        <family val="1"/>
      </rPr>
      <t>Upgrade interior lighting to be 20-30% better than baseline</t>
    </r>
  </si>
  <si>
    <r>
      <rPr>
        <b/>
        <sz val="8"/>
        <color rgb="FF131313"/>
        <rFont val="Times New Roman"/>
        <family val="1"/>
      </rPr>
      <t>Lighting</t>
    </r>
  </si>
  <si>
    <r>
      <rPr>
        <sz val="8.5"/>
        <color rgb="FF131313"/>
        <rFont val="Times New Roman"/>
        <family val="1"/>
      </rPr>
      <t xml:space="preserve">Black-out shades to provide reduced </t>
    </r>
    <r>
      <rPr>
        <i/>
        <sz val="8.5"/>
        <color rgb="FF131313"/>
        <rFont val="Times New Roman"/>
        <family val="1"/>
      </rPr>
      <t xml:space="preserve">net </t>
    </r>
    <r>
      <rPr>
        <sz val="8.5"/>
        <color rgb="FF131313"/>
        <rFont val="Times New Roman"/>
        <family val="1"/>
      </rPr>
      <t>amount of solar gain into the space</t>
    </r>
  </si>
  <si>
    <r>
      <rPr>
        <sz val="8.5"/>
        <color rgb="FF131313"/>
        <rFont val="Times New Roman"/>
        <family val="1"/>
      </rPr>
      <t>Add internal shading and control to reduce solar heat gain</t>
    </r>
  </si>
  <si>
    <r>
      <rPr>
        <sz val="8.5"/>
        <color rgb="FF131313"/>
        <rFont val="Times New Roman"/>
        <family val="1"/>
      </rPr>
      <t>Internal shading</t>
    </r>
  </si>
  <si>
    <r>
      <rPr>
        <sz val="8.5"/>
        <color rgb="FF131313"/>
        <rFont val="Times New Roman"/>
        <family val="1"/>
      </rPr>
      <t>0.05 cfm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>sf_f@  50 Pa</t>
    </r>
  </si>
  <si>
    <r>
      <rPr>
        <sz val="8.5"/>
        <color rgb="FF131313"/>
        <rFont val="Times New Roman"/>
        <family val="1"/>
      </rPr>
      <t xml:space="preserve">0.40 cfm 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 xml:space="preserve">sf_f@  0.3 </t>
    </r>
    <r>
      <rPr>
        <b/>
        <sz val="8"/>
        <color rgb="FF131313"/>
        <rFont val="Times New Roman"/>
        <family val="1"/>
      </rPr>
      <t xml:space="preserve">in </t>
    </r>
    <r>
      <rPr>
        <sz val="8.5"/>
        <color rgb="FF131313"/>
        <rFont val="Times New Roman"/>
        <family val="1"/>
      </rPr>
      <t>(75 Pa)</t>
    </r>
  </si>
  <si>
    <r>
      <rPr>
        <sz val="8.5"/>
        <color rgb="FF131313"/>
        <rFont val="Times New Roman"/>
        <family val="1"/>
      </rPr>
      <t xml:space="preserve">Provide air-vapor barrier to achieve </t>
    </r>
    <r>
      <rPr>
        <sz val="8.5"/>
        <color rgb="FF2A2A2A"/>
        <rFont val="Times New Roman"/>
        <family val="1"/>
      </rPr>
      <t xml:space="preserve">infiltration </t>
    </r>
    <r>
      <rPr>
        <sz val="8.5"/>
        <color rgb="FF131313"/>
        <rFont val="Times New Roman"/>
        <family val="1"/>
      </rPr>
      <t>rates at Passive House (PHIUS+ 2015) levels</t>
    </r>
  </si>
  <si>
    <r>
      <rPr>
        <sz val="8.5"/>
        <color rgb="FF131313"/>
        <rFont val="Times New Roman"/>
        <family val="1"/>
      </rPr>
      <t>Reduced infiltration</t>
    </r>
  </si>
  <si>
    <r>
      <rPr>
        <sz val="8.5"/>
        <color rgb="FF131313"/>
        <rFont val="Times New Roman"/>
        <family val="1"/>
      </rPr>
      <t>R-15c.i.</t>
    </r>
  </si>
  <si>
    <r>
      <rPr>
        <sz val="8.5"/>
        <color rgb="FF2A2A2A"/>
        <rFont val="Times New Roman"/>
        <family val="1"/>
      </rPr>
      <t xml:space="preserve">C-0.119 </t>
    </r>
    <r>
      <rPr>
        <sz val="8.5"/>
        <color rgb="FF131313"/>
        <rFont val="Times New Roman"/>
        <family val="1"/>
      </rPr>
      <t>R-7.5ci</t>
    </r>
  </si>
  <si>
    <r>
      <rPr>
        <sz val="8.5"/>
        <color rgb="FF131313"/>
        <rFont val="Times New Roman"/>
        <family val="1"/>
      </rPr>
      <t>Increase below-grade wall insulation to R-15c.i.</t>
    </r>
  </si>
  <si>
    <r>
      <rPr>
        <sz val="8.5"/>
        <color rgb="FF131313"/>
        <rFont val="Times New Roman"/>
        <family val="1"/>
      </rPr>
      <t>Below-grade wall insulation</t>
    </r>
  </si>
  <si>
    <r>
      <rPr>
        <sz val="8.5"/>
        <color rgb="FF131313"/>
        <rFont val="Times New Roman"/>
        <family val="1"/>
      </rPr>
      <t>R-30c.i.</t>
    </r>
  </si>
  <si>
    <r>
      <rPr>
        <sz val="8.5"/>
        <color rgb="FF131313"/>
        <rFont val="Times New Roman"/>
        <family val="1"/>
      </rPr>
      <t xml:space="preserve">U-0.064
</t>
    </r>
    <r>
      <rPr>
        <sz val="8.5"/>
        <color rgb="FF131313"/>
        <rFont val="Times New Roman"/>
        <family val="1"/>
      </rPr>
      <t>R-13+R-7.5ci</t>
    </r>
  </si>
  <si>
    <r>
      <rPr>
        <sz val="8.5"/>
        <color rgb="FF131313"/>
        <rFont val="Times New Roman"/>
        <family val="1"/>
      </rPr>
      <t>Incre</t>
    </r>
    <r>
      <rPr>
        <sz val="8.5"/>
        <color rgb="FF383838"/>
        <rFont val="Times New Roman"/>
        <family val="1"/>
      </rPr>
      <t>a</t>
    </r>
    <r>
      <rPr>
        <sz val="8.5"/>
        <color rgb="FF131313"/>
        <rFont val="Times New Roman"/>
        <family val="1"/>
      </rPr>
      <t xml:space="preserve">se wall insulation to R-30 to </t>
    </r>
    <r>
      <rPr>
        <sz val="8.5"/>
        <color rgb="FF2A2A2A"/>
        <rFont val="Times New Roman"/>
        <family val="1"/>
      </rPr>
      <t xml:space="preserve">achieve </t>
    </r>
    <r>
      <rPr>
        <sz val="8.5"/>
        <color rgb="FF131313"/>
        <rFont val="Times New Roman"/>
        <family val="1"/>
      </rPr>
      <t>Passive House certified level wall construction.</t>
    </r>
  </si>
  <si>
    <r>
      <rPr>
        <sz val="8.5"/>
        <color rgb="FF131313"/>
        <rFont val="Times New Roman"/>
        <family val="1"/>
      </rPr>
      <t>Wall insulation</t>
    </r>
  </si>
  <si>
    <r>
      <rPr>
        <sz val="8.5"/>
        <color rgb="FF131313"/>
        <rFont val="Times New Roman"/>
        <family val="1"/>
      </rPr>
      <t>R-60c.i.</t>
    </r>
  </si>
  <si>
    <r>
      <rPr>
        <sz val="8.5"/>
        <color rgb="FF131313"/>
        <rFont val="Times New Roman"/>
        <family val="1"/>
      </rPr>
      <t xml:space="preserve">U-0.032
</t>
    </r>
    <r>
      <rPr>
        <sz val="8.5"/>
        <color rgb="FF131313"/>
        <rFont val="Times New Roman"/>
        <family val="1"/>
      </rPr>
      <t>R-30ci</t>
    </r>
  </si>
  <si>
    <r>
      <rPr>
        <sz val="8.5"/>
        <color rgb="FF131313"/>
        <rFont val="Times New Roman"/>
        <family val="1"/>
      </rPr>
      <t xml:space="preserve">Replace existing roof with R-60 continuous </t>
    </r>
    <r>
      <rPr>
        <sz val="8.5"/>
        <color rgb="FF2A2A2A"/>
        <rFont val="Times New Roman"/>
        <family val="1"/>
      </rPr>
      <t xml:space="preserve">insulation </t>
    </r>
    <r>
      <rPr>
        <sz val="8.5"/>
        <color rgb="FF131313"/>
        <rFont val="Times New Roman"/>
        <family val="1"/>
      </rPr>
      <t>to achieve Passive House certified values.</t>
    </r>
  </si>
  <si>
    <r>
      <rPr>
        <sz val="8.5"/>
        <color rgb="FF131313"/>
        <rFont val="Times New Roman"/>
        <family val="1"/>
      </rPr>
      <t>Rooflnsulation (Passive House level)</t>
    </r>
  </si>
  <si>
    <r>
      <rPr>
        <sz val="8.5"/>
        <color rgb="FF131313"/>
        <rFont val="Times New Roman"/>
        <family val="1"/>
      </rPr>
      <t xml:space="preserve">SageGlass: </t>
    </r>
    <r>
      <rPr>
        <sz val="8.5"/>
        <color rgb="FF2A2A2A"/>
        <rFont val="Times New Roman"/>
        <family val="1"/>
      </rPr>
      <t xml:space="preserve">4mm </t>
    </r>
    <r>
      <rPr>
        <sz val="8.5"/>
        <color rgb="FF131313"/>
        <rFont val="Times New Roman"/>
        <family val="1"/>
      </rPr>
      <t>clear w</t>
    </r>
    <r>
      <rPr>
        <sz val="8.5"/>
        <color rgb="FF383838"/>
        <rFont val="Times New Roman"/>
        <family val="1"/>
      </rPr>
      <t>/</t>
    </r>
    <r>
      <rPr>
        <sz val="8.5"/>
        <color rgb="FF131313"/>
        <rFont val="Times New Roman"/>
        <family val="1"/>
      </rPr>
      <t xml:space="preserve">SR2.0,0.89mm SentryGlas, 2.2mm SageGlass, 12mm air space w/90% Argon fill, 6mm clear
</t>
    </r>
    <r>
      <rPr>
        <sz val="8.5"/>
        <color rgb="FF131313"/>
        <rFont val="Times New Roman"/>
        <family val="1"/>
      </rPr>
      <t>Other manufacturers: View Glass, Halio by Kenestral</t>
    </r>
  </si>
  <si>
    <r>
      <rPr>
        <sz val="8.5"/>
        <color rgb="FF131313"/>
        <rFont val="Times New Roman"/>
        <family val="1"/>
      </rPr>
      <t>U-0</t>
    </r>
    <r>
      <rPr>
        <sz val="8.5"/>
        <color rgb="FF4B4B4B"/>
        <rFont val="Times New Roman"/>
        <family val="1"/>
      </rPr>
      <t>.</t>
    </r>
    <r>
      <rPr>
        <sz val="8.5"/>
        <color rgb="FF131313"/>
        <rFont val="Times New Roman"/>
        <family val="1"/>
      </rPr>
      <t xml:space="preserve">28
</t>
    </r>
    <r>
      <rPr>
        <sz val="8.5"/>
        <color rgb="FF131313"/>
        <rFont val="Times New Roman"/>
        <family val="1"/>
      </rPr>
      <t>SHGC-0.09-0.41 VT-0.01-0.60</t>
    </r>
  </si>
  <si>
    <r>
      <rPr>
        <sz val="8.5"/>
        <color rgb="FF131313"/>
        <rFont val="Times New Roman"/>
        <family val="1"/>
      </rPr>
      <t>U-0.38 SHGC-0.36 VT-0.40</t>
    </r>
  </si>
  <si>
    <r>
      <rPr>
        <sz val="8.5"/>
        <color rgb="FF131313"/>
        <rFont val="Times New Roman"/>
        <family val="1"/>
      </rPr>
      <t xml:space="preserve">Replace existing windows with electrochromic glazing to optimize solar gain </t>
    </r>
    <r>
      <rPr>
        <sz val="8.5"/>
        <color rgb="FF2A2A2A"/>
        <rFont val="Times New Roman"/>
        <family val="1"/>
      </rPr>
      <t xml:space="preserve">and </t>
    </r>
    <r>
      <rPr>
        <sz val="8.5"/>
        <color rgb="FF131313"/>
        <rFont val="Times New Roman"/>
        <family val="1"/>
      </rPr>
      <t>lighting levels</t>
    </r>
    <r>
      <rPr>
        <sz val="8.5"/>
        <color rgb="FF383838"/>
        <rFont val="Times New Roman"/>
        <family val="1"/>
      </rPr>
      <t>.</t>
    </r>
  </si>
  <si>
    <r>
      <rPr>
        <sz val="8.5"/>
        <color rgb="FF131313"/>
        <rFont val="Times New Roman"/>
        <family val="1"/>
      </rPr>
      <t>Electrochromic glazing</t>
    </r>
  </si>
  <si>
    <r>
      <rPr>
        <sz val="8.5"/>
        <color rgb="FF131313"/>
        <rFont val="Times New Roman"/>
        <family val="1"/>
      </rPr>
      <t>Triple glazing, e=0.05 on surface 2 and 4, LE LE CLR. Insulated vinyl frame, 1</t>
    </r>
    <r>
      <rPr>
        <sz val="8.5"/>
        <color rgb="FF383838"/>
        <rFont val="Times New Roman"/>
        <family val="1"/>
      </rPr>
      <t xml:space="preserve">/ </t>
    </r>
    <r>
      <rPr>
        <sz val="8.5"/>
        <color rgb="FF131313"/>
        <rFont val="Times New Roman"/>
        <family val="1"/>
      </rPr>
      <t xml:space="preserve">2" air, 1/4" glass
</t>
    </r>
    <r>
      <rPr>
        <sz val="8.5"/>
        <color rgb="FF131313"/>
        <rFont val="Times New Roman"/>
        <family val="1"/>
      </rPr>
      <t>Manufacturers: Viracon, Interpane</t>
    </r>
  </si>
  <si>
    <r>
      <rPr>
        <sz val="8.5"/>
        <color rgb="FF131313"/>
        <rFont val="Times New Roman"/>
        <family val="1"/>
      </rPr>
      <t xml:space="preserve">System: U-0.31; SHGC-0.24; VT-0.50
</t>
    </r>
    <r>
      <rPr>
        <sz val="8.5"/>
        <color rgb="FF131313"/>
        <rFont val="Times New Roman"/>
        <family val="1"/>
      </rPr>
      <t xml:space="preserve">Center-of-glass </t>
    </r>
    <r>
      <rPr>
        <sz val="8.5"/>
        <color rgb="FF4B4B4B"/>
        <rFont val="Times New Roman"/>
        <family val="1"/>
      </rPr>
      <t xml:space="preserve">: </t>
    </r>
    <r>
      <rPr>
        <sz val="8.5"/>
        <color rgb="FF131313"/>
        <rFont val="Times New Roman"/>
        <family val="1"/>
      </rPr>
      <t>U-0</t>
    </r>
    <r>
      <rPr>
        <sz val="8.5"/>
        <color rgb="FF4B4B4B"/>
        <rFont val="Times New Roman"/>
        <family val="1"/>
      </rPr>
      <t>.</t>
    </r>
    <r>
      <rPr>
        <sz val="8.5"/>
        <color rgb="FF131313"/>
        <rFont val="Times New Roman"/>
        <family val="1"/>
      </rPr>
      <t>27;SHGC-0.27; VT-0.58</t>
    </r>
  </si>
  <si>
    <r>
      <rPr>
        <sz val="8.5"/>
        <color rgb="FF131313"/>
        <rFont val="Times New Roman"/>
        <family val="1"/>
      </rPr>
      <t xml:space="preserve">High performance triple glazed windows filled with </t>
    </r>
    <r>
      <rPr>
        <sz val="8.5"/>
        <color rgb="FF2A2A2A"/>
        <rFont val="Times New Roman"/>
        <family val="1"/>
      </rPr>
      <t>argon.</t>
    </r>
  </si>
  <si>
    <r>
      <rPr>
        <sz val="8.5"/>
        <color rgb="FF131313"/>
        <rFont val="Times New Roman"/>
        <family val="1"/>
      </rPr>
      <t>High performance triple-glazing windows</t>
    </r>
  </si>
  <si>
    <r>
      <rPr>
        <b/>
        <sz val="8"/>
        <color rgb="FF131313"/>
        <rFont val="Times New Roman"/>
        <family val="1"/>
      </rPr>
      <t>Envelope</t>
    </r>
  </si>
  <si>
    <r>
      <rPr>
        <b/>
        <sz val="9"/>
        <color rgb="FF131313"/>
        <rFont val="Times New Roman"/>
        <family val="1"/>
      </rPr>
      <t>Proposed</t>
    </r>
  </si>
  <si>
    <r>
      <rPr>
        <b/>
        <sz val="9"/>
        <color rgb="FF131313"/>
        <rFont val="Times New Roman"/>
        <family val="1"/>
      </rPr>
      <t xml:space="preserve">Code Requirement </t>
    </r>
    <r>
      <rPr>
        <sz val="9"/>
        <color rgb="FF131313"/>
        <rFont val="Times New Roman"/>
        <family val="1"/>
      </rPr>
      <t xml:space="preserve">/ </t>
    </r>
    <r>
      <rPr>
        <b/>
        <sz val="9"/>
        <color rgb="FF131313"/>
        <rFont val="Times New Roman"/>
        <family val="1"/>
      </rPr>
      <t>Baseline</t>
    </r>
  </si>
  <si>
    <r>
      <rPr>
        <b/>
        <sz val="9"/>
        <color rgb="FF131313"/>
        <rFont val="Times New Roman"/>
        <family val="1"/>
      </rPr>
      <t>Additional notes</t>
    </r>
  </si>
  <si>
    <r>
      <rPr>
        <b/>
        <sz val="9"/>
        <color rgb="FF131313"/>
        <rFont val="Times New Roman"/>
        <family val="1"/>
      </rPr>
      <t>Performance</t>
    </r>
  </si>
  <si>
    <r>
      <rPr>
        <b/>
        <sz val="9"/>
        <color rgb="FF131313"/>
        <rFont val="Times New Roman"/>
        <family val="1"/>
      </rPr>
      <t>Description</t>
    </r>
  </si>
  <si>
    <r>
      <rPr>
        <b/>
        <sz val="9"/>
        <color rgb="FF131313"/>
        <rFont val="Times New Roman"/>
        <family val="1"/>
      </rPr>
      <t>Name</t>
    </r>
  </si>
  <si>
    <r>
      <rPr>
        <sz val="9"/>
        <color rgb="FF131313"/>
        <rFont val="Times New Roman"/>
        <family val="1"/>
      </rPr>
      <t>ID</t>
    </r>
  </si>
  <si>
    <r>
      <rPr>
        <b/>
        <sz val="8.5"/>
        <color rgb="FF131313"/>
        <rFont val="Arial"/>
        <family val="2"/>
      </rPr>
      <t>Energy Conservation Measures (ECM}</t>
    </r>
  </si>
  <si>
    <r>
      <rPr>
        <sz val="7"/>
        <color rgb="FF131313"/>
        <rFont val="Arial"/>
        <family val="2"/>
      </rPr>
      <t xml:space="preserve">State University Construction Fund Construct School of Applied Social Sciences
</t>
    </r>
    <r>
      <rPr>
        <sz val="7"/>
        <color rgb="FF131313"/>
        <rFont val="Arial"/>
        <family val="2"/>
      </rPr>
      <t>State University College of Technology at Farmingdale</t>
    </r>
  </si>
  <si>
    <t>Total Amount</t>
  </si>
  <si>
    <t>Qty</t>
  </si>
  <si>
    <t>Unit Rate</t>
  </si>
  <si>
    <r>
      <rPr>
        <sz val="8.5"/>
        <color rgb="FF2A2A2A"/>
        <rFont val="Times New Roman"/>
        <family val="1"/>
      </rPr>
      <t>El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</si>
  <si>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E2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</si>
  <si>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E3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</si>
  <si>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E4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</si>
  <si>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E5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</si>
  <si>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E6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</si>
  <si>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E7</t>
    </r>
    <r>
      <rPr>
        <sz val="8.5"/>
        <rFont val="Times New Roman"/>
        <family val="1"/>
      </rPr>
      <t>-</t>
    </r>
  </si>
  <si>
    <r>
      <rPr>
        <sz val="7.5"/>
        <color rgb="FF131313"/>
        <rFont val="Times New Roman"/>
        <family val="1"/>
      </rPr>
      <t>L1</t>
    </r>
    <r>
      <rPr>
        <sz val="7.5"/>
        <rFont val="Times New Roman"/>
        <family val="1"/>
      </rPr>
      <t>-</t>
    </r>
  </si>
  <si>
    <t>L2-</t>
  </si>
  <si>
    <r>
      <rPr>
        <sz val="8.5"/>
        <color rgb="FF131313"/>
        <rFont val="Times New Roman"/>
        <family val="1"/>
      </rPr>
      <t>P2</t>
    </r>
    <r>
      <rPr>
        <sz val="8.5"/>
        <rFont val="Times New Roman"/>
        <family val="1"/>
      </rPr>
      <t>-</t>
    </r>
  </si>
  <si>
    <r>
      <rPr>
        <sz val="8.5"/>
        <color rgb="FF131313"/>
        <rFont val="Times New Roman"/>
        <family val="1"/>
      </rPr>
      <t>P3</t>
    </r>
    <r>
      <rPr>
        <sz val="8.5"/>
        <rFont val="Times New Roman"/>
        <family val="1"/>
      </rPr>
      <t>-</t>
    </r>
  </si>
  <si>
    <t>1-</t>
  </si>
  <si>
    <r>
      <rPr>
        <sz val="7.5"/>
        <color rgb="FF161616"/>
        <rFont val="Times New Roman"/>
        <family val="1"/>
      </rPr>
      <t>Hl</t>
    </r>
    <r>
      <rPr>
        <sz val="7.5"/>
        <rFont val="Times New Roman"/>
        <family val="1"/>
      </rPr>
      <t>-</t>
    </r>
  </si>
  <si>
    <r>
      <rPr>
        <sz val="8"/>
        <color rgb="FF161616"/>
        <rFont val="Times New Roman"/>
        <family val="1"/>
      </rPr>
      <t>H2</t>
    </r>
    <r>
      <rPr>
        <sz val="8"/>
        <rFont val="Times New Roman"/>
        <family val="1"/>
      </rPr>
      <t>-</t>
    </r>
  </si>
  <si>
    <r>
      <rPr>
        <sz val="8.5"/>
        <color rgb="FF161616"/>
        <rFont val="Times New Roman"/>
        <family val="1"/>
      </rPr>
      <t>H3</t>
    </r>
    <r>
      <rPr>
        <sz val="8.5"/>
        <rFont val="Times New Roman"/>
        <family val="1"/>
      </rPr>
      <t>-</t>
    </r>
  </si>
  <si>
    <r>
      <rPr>
        <sz val="8.5"/>
        <color rgb="FF161616"/>
        <rFont val="Times New Roman"/>
        <family val="1"/>
      </rPr>
      <t>Cl</t>
    </r>
    <r>
      <rPr>
        <sz val="8.5"/>
        <rFont val="Times New Roman"/>
        <family val="1"/>
      </rPr>
      <t>-</t>
    </r>
  </si>
  <si>
    <r>
      <rPr>
        <sz val="7"/>
        <color rgb="FF161616"/>
        <rFont val="Arial"/>
        <family val="2"/>
      </rPr>
      <t>C2</t>
    </r>
    <r>
      <rPr>
        <sz val="8.5"/>
        <rFont val="Times New Roman"/>
        <family val="1"/>
      </rPr>
      <t>-</t>
    </r>
  </si>
  <si>
    <r>
      <rPr>
        <sz val="7.5"/>
        <color rgb="FF161616"/>
        <rFont val="Times New Roman"/>
        <family val="1"/>
      </rPr>
      <t>Wl</t>
    </r>
    <r>
      <rPr>
        <sz val="7.5"/>
        <rFont val="Times New Roman"/>
        <family val="1"/>
      </rPr>
      <t>-</t>
    </r>
  </si>
  <si>
    <t>Energy Conservation Methods (ECM)</t>
  </si>
  <si>
    <t>Centralized AS HVAC</t>
  </si>
  <si>
    <t>Distributed HP HVAC</t>
  </si>
  <si>
    <t>Subtotal</t>
  </si>
  <si>
    <t>Markup</t>
  </si>
  <si>
    <t>Thermal &amp; Moisture protection</t>
  </si>
  <si>
    <t>Interior &amp; Exterior doors,windows &amp; Curtain wall</t>
  </si>
  <si>
    <r>
      <rPr>
        <b/>
        <sz val="11"/>
        <color rgb="FF131313"/>
        <rFont val="Arial"/>
        <family val="2"/>
      </rPr>
      <t>Energy Conservation Measures (ECM}</t>
    </r>
  </si>
  <si>
    <r>
      <rPr>
        <sz val="11"/>
        <color rgb="FF131313"/>
        <rFont val="Arial"/>
        <family val="2"/>
      </rPr>
      <t>ID</t>
    </r>
  </si>
  <si>
    <r>
      <rPr>
        <b/>
        <sz val="11"/>
        <color rgb="FF131313"/>
        <rFont val="Arial"/>
        <family val="2"/>
      </rPr>
      <t>Name</t>
    </r>
  </si>
  <si>
    <r>
      <rPr>
        <b/>
        <sz val="11"/>
        <color rgb="FF131313"/>
        <rFont val="Arial"/>
        <family val="2"/>
      </rPr>
      <t>Description</t>
    </r>
  </si>
  <si>
    <r>
      <rPr>
        <b/>
        <sz val="11"/>
        <color rgb="FF131313"/>
        <rFont val="Arial"/>
        <family val="2"/>
      </rPr>
      <t>Performance</t>
    </r>
  </si>
  <si>
    <r>
      <rPr>
        <b/>
        <sz val="11"/>
        <color rgb="FF131313"/>
        <rFont val="Arial"/>
        <family val="2"/>
      </rPr>
      <t>Additional notes</t>
    </r>
  </si>
  <si>
    <r>
      <rPr>
        <b/>
        <sz val="11"/>
        <color rgb="FF131313"/>
        <rFont val="Arial"/>
        <family val="2"/>
      </rPr>
      <t xml:space="preserve">Code Requirement </t>
    </r>
    <r>
      <rPr>
        <sz val="11"/>
        <color rgb="FF131313"/>
        <rFont val="Arial"/>
        <family val="2"/>
      </rPr>
      <t xml:space="preserve">/ </t>
    </r>
    <r>
      <rPr>
        <b/>
        <sz val="11"/>
        <color rgb="FF131313"/>
        <rFont val="Arial"/>
        <family val="2"/>
      </rPr>
      <t>Baseline</t>
    </r>
  </si>
  <si>
    <r>
      <rPr>
        <b/>
        <sz val="11"/>
        <color rgb="FF131313"/>
        <rFont val="Arial"/>
        <family val="2"/>
      </rPr>
      <t>Proposed</t>
    </r>
  </si>
  <si>
    <r>
      <rPr>
        <b/>
        <sz val="11"/>
        <color rgb="FF131313"/>
        <rFont val="Arial"/>
        <family val="2"/>
      </rPr>
      <t>Envelope</t>
    </r>
  </si>
  <si>
    <r>
      <rPr>
        <sz val="11"/>
        <color rgb="FF131313"/>
        <rFont val="Arial"/>
        <family val="2"/>
      </rPr>
      <t>High performance triple-glazing windows</t>
    </r>
  </si>
  <si>
    <r>
      <rPr>
        <sz val="11"/>
        <color rgb="FF131313"/>
        <rFont val="Arial"/>
        <family val="2"/>
      </rPr>
      <t xml:space="preserve">High performance triple glazed windows filled with </t>
    </r>
    <r>
      <rPr>
        <sz val="11"/>
        <color rgb="FF2A2A2A"/>
        <rFont val="Arial"/>
        <family val="2"/>
      </rPr>
      <t>argon.</t>
    </r>
  </si>
  <si>
    <r>
      <rPr>
        <sz val="11"/>
        <color rgb="FF131313"/>
        <rFont val="Arial"/>
        <family val="2"/>
      </rPr>
      <t>U-0.38 SHGC-0.36 VT-0.40</t>
    </r>
  </si>
  <si>
    <r>
      <rPr>
        <sz val="11"/>
        <color rgb="FF131313"/>
        <rFont val="Arial"/>
        <family val="2"/>
      </rPr>
      <t xml:space="preserve">System: U-0.31; SHGC-0.24; VT-0.50
Center-of-glass </t>
    </r>
    <r>
      <rPr>
        <sz val="11"/>
        <color rgb="FF4B4B4B"/>
        <rFont val="Arial"/>
        <family val="2"/>
      </rPr>
      <t xml:space="preserve">: </t>
    </r>
    <r>
      <rPr>
        <sz val="11"/>
        <color rgb="FF131313"/>
        <rFont val="Arial"/>
        <family val="2"/>
      </rPr>
      <t>U-0</t>
    </r>
    <r>
      <rPr>
        <sz val="11"/>
        <color rgb="FF4B4B4B"/>
        <rFont val="Arial"/>
        <family val="2"/>
      </rPr>
      <t>.</t>
    </r>
    <r>
      <rPr>
        <sz val="11"/>
        <color rgb="FF131313"/>
        <rFont val="Arial"/>
        <family val="2"/>
      </rPr>
      <t>27;SHGC-0.27; VT-0.58</t>
    </r>
  </si>
  <si>
    <r>
      <rPr>
        <sz val="11"/>
        <color rgb="FF131313"/>
        <rFont val="Arial"/>
        <family val="2"/>
      </rPr>
      <t>Triple glazing, e=0.05 on surface 2 and 4, LE LE CLR. Insulated vinyl frame, 1</t>
    </r>
    <r>
      <rPr>
        <sz val="11"/>
        <color rgb="FF383838"/>
        <rFont val="Arial"/>
        <family val="2"/>
      </rPr>
      <t xml:space="preserve">/ </t>
    </r>
    <r>
      <rPr>
        <sz val="11"/>
        <color rgb="FF131313"/>
        <rFont val="Arial"/>
        <family val="2"/>
      </rPr>
      <t>2" air, 1/4" glass
Manufacturers: Viracon, Interpane</t>
    </r>
  </si>
  <si>
    <r>
      <rPr>
        <sz val="11"/>
        <color rgb="FF131313"/>
        <rFont val="Arial"/>
        <family val="2"/>
      </rPr>
      <t>Electrochromic glazing</t>
    </r>
  </si>
  <si>
    <r>
      <rPr>
        <sz val="11"/>
        <color rgb="FF131313"/>
        <rFont val="Arial"/>
        <family val="2"/>
      </rPr>
      <t xml:space="preserve">Replace existing windows with electrochromic glazing to optimize solar gain </t>
    </r>
    <r>
      <rPr>
        <sz val="11"/>
        <color rgb="FF2A2A2A"/>
        <rFont val="Arial"/>
        <family val="2"/>
      </rPr>
      <t xml:space="preserve">and </t>
    </r>
    <r>
      <rPr>
        <sz val="11"/>
        <color rgb="FF131313"/>
        <rFont val="Arial"/>
        <family val="2"/>
      </rPr>
      <t>lighting levels</t>
    </r>
    <r>
      <rPr>
        <sz val="11"/>
        <color rgb="FF383838"/>
        <rFont val="Arial"/>
        <family val="2"/>
      </rPr>
      <t>.</t>
    </r>
  </si>
  <si>
    <r>
      <rPr>
        <sz val="11"/>
        <color rgb="FF131313"/>
        <rFont val="Arial"/>
        <family val="2"/>
      </rPr>
      <t>U-0</t>
    </r>
    <r>
      <rPr>
        <sz val="11"/>
        <color rgb="FF4B4B4B"/>
        <rFont val="Arial"/>
        <family val="2"/>
      </rPr>
      <t>.</t>
    </r>
    <r>
      <rPr>
        <sz val="11"/>
        <color rgb="FF131313"/>
        <rFont val="Arial"/>
        <family val="2"/>
      </rPr>
      <t>28
SHGC-0.09-0.41 VT-0.01-0.60</t>
    </r>
  </si>
  <si>
    <r>
      <rPr>
        <sz val="11"/>
        <color rgb="FF131313"/>
        <rFont val="Arial"/>
        <family val="2"/>
      </rPr>
      <t xml:space="preserve">SageGlass: </t>
    </r>
    <r>
      <rPr>
        <sz val="11"/>
        <color rgb="FF2A2A2A"/>
        <rFont val="Arial"/>
        <family val="2"/>
      </rPr>
      <t xml:space="preserve">4mm </t>
    </r>
    <r>
      <rPr>
        <sz val="11"/>
        <color rgb="FF131313"/>
        <rFont val="Arial"/>
        <family val="2"/>
      </rPr>
      <t>clear w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>SR2.0,0.89mm SentryGlas, 2.2mm SageGlass, 12mm air space w/90% Argon fill, 6mm clear
Other manufacturers: View Glass, Halio by Kenestral</t>
    </r>
  </si>
  <si>
    <r>
      <rPr>
        <sz val="11"/>
        <color rgb="FF131313"/>
        <rFont val="Arial"/>
        <family val="2"/>
      </rPr>
      <t xml:space="preserve">Replace existing roof with R-60 continuous </t>
    </r>
    <r>
      <rPr>
        <sz val="11"/>
        <color rgb="FF2A2A2A"/>
        <rFont val="Arial"/>
        <family val="2"/>
      </rPr>
      <t xml:space="preserve">insulation </t>
    </r>
    <r>
      <rPr>
        <sz val="11"/>
        <color rgb="FF131313"/>
        <rFont val="Arial"/>
        <family val="2"/>
      </rPr>
      <t>to achieve Passive House certified values.</t>
    </r>
  </si>
  <si>
    <r>
      <rPr>
        <sz val="11"/>
        <color rgb="FF131313"/>
        <rFont val="Arial"/>
        <family val="2"/>
      </rPr>
      <t>U-0.032
R-30ci</t>
    </r>
  </si>
  <si>
    <r>
      <rPr>
        <sz val="11"/>
        <color rgb="FF131313"/>
        <rFont val="Arial"/>
        <family val="2"/>
      </rPr>
      <t>R-60c.i.</t>
    </r>
  </si>
  <si>
    <r>
      <rPr>
        <sz val="11"/>
        <color rgb="FF131313"/>
        <rFont val="Arial"/>
        <family val="2"/>
      </rPr>
      <t>Wall insulation</t>
    </r>
  </si>
  <si>
    <r>
      <rPr>
        <sz val="11"/>
        <color rgb="FF131313"/>
        <rFont val="Arial"/>
        <family val="2"/>
      </rPr>
      <t>Incre</t>
    </r>
    <r>
      <rPr>
        <sz val="11"/>
        <color rgb="FF383838"/>
        <rFont val="Arial"/>
        <family val="2"/>
      </rPr>
      <t>a</t>
    </r>
    <r>
      <rPr>
        <sz val="11"/>
        <color rgb="FF131313"/>
        <rFont val="Arial"/>
        <family val="2"/>
      </rPr>
      <t xml:space="preserve">se wall insulation to R-30 to </t>
    </r>
    <r>
      <rPr>
        <sz val="11"/>
        <color rgb="FF2A2A2A"/>
        <rFont val="Arial"/>
        <family val="2"/>
      </rPr>
      <t xml:space="preserve">achieve </t>
    </r>
    <r>
      <rPr>
        <sz val="11"/>
        <color rgb="FF131313"/>
        <rFont val="Arial"/>
        <family val="2"/>
      </rPr>
      <t>Passive House certified level wall construction.</t>
    </r>
  </si>
  <si>
    <r>
      <rPr>
        <sz val="11"/>
        <color rgb="FF131313"/>
        <rFont val="Arial"/>
        <family val="2"/>
      </rPr>
      <t>U-0.064
R-13+R-7.5ci</t>
    </r>
  </si>
  <si>
    <r>
      <rPr>
        <sz val="11"/>
        <color rgb="FF131313"/>
        <rFont val="Arial"/>
        <family val="2"/>
      </rPr>
      <t>R-30c.i.</t>
    </r>
  </si>
  <si>
    <r>
      <rPr>
        <sz val="11"/>
        <color rgb="FF131313"/>
        <rFont val="Arial"/>
        <family val="2"/>
      </rPr>
      <t>Below-grade wall insulation</t>
    </r>
  </si>
  <si>
    <r>
      <rPr>
        <sz val="11"/>
        <color rgb="FF131313"/>
        <rFont val="Arial"/>
        <family val="2"/>
      </rPr>
      <t>Increase below-grade wall insulation to R-15c.i.</t>
    </r>
  </si>
  <si>
    <r>
      <rPr>
        <sz val="11"/>
        <color rgb="FF2A2A2A"/>
        <rFont val="Arial"/>
        <family val="2"/>
      </rPr>
      <t xml:space="preserve">C-0.119 </t>
    </r>
    <r>
      <rPr>
        <sz val="11"/>
        <color rgb="FF131313"/>
        <rFont val="Arial"/>
        <family val="2"/>
      </rPr>
      <t>R-7.5ci</t>
    </r>
  </si>
  <si>
    <r>
      <rPr>
        <sz val="11"/>
        <color rgb="FF131313"/>
        <rFont val="Arial"/>
        <family val="2"/>
      </rPr>
      <t>R-15c.i.</t>
    </r>
  </si>
  <si>
    <r>
      <rPr>
        <sz val="11"/>
        <color rgb="FF131313"/>
        <rFont val="Arial"/>
        <family val="2"/>
      </rPr>
      <t>Reduced infiltration</t>
    </r>
  </si>
  <si>
    <r>
      <rPr>
        <sz val="11"/>
        <color rgb="FF131313"/>
        <rFont val="Arial"/>
        <family val="2"/>
      </rPr>
      <t xml:space="preserve">Provide air-vapor barrier to achieve </t>
    </r>
    <r>
      <rPr>
        <sz val="11"/>
        <color rgb="FF2A2A2A"/>
        <rFont val="Arial"/>
        <family val="2"/>
      </rPr>
      <t xml:space="preserve">infiltration </t>
    </r>
    <r>
      <rPr>
        <sz val="11"/>
        <color rgb="FF131313"/>
        <rFont val="Arial"/>
        <family val="2"/>
      </rPr>
      <t>rates at Passive House (PHIUS+ 2015) levels</t>
    </r>
  </si>
  <si>
    <r>
      <rPr>
        <sz val="11"/>
        <color rgb="FF131313"/>
        <rFont val="Arial"/>
        <family val="2"/>
      </rPr>
      <t xml:space="preserve">0.40 cfm 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 xml:space="preserve">sf_f@  0.3 </t>
    </r>
    <r>
      <rPr>
        <b/>
        <sz val="11"/>
        <color rgb="FF131313"/>
        <rFont val="Arial"/>
        <family val="2"/>
      </rPr>
      <t xml:space="preserve">in </t>
    </r>
    <r>
      <rPr>
        <sz val="11"/>
        <color rgb="FF131313"/>
        <rFont val="Arial"/>
        <family val="2"/>
      </rPr>
      <t>(75 Pa)</t>
    </r>
  </si>
  <si>
    <r>
      <rPr>
        <sz val="11"/>
        <color rgb="FF131313"/>
        <rFont val="Arial"/>
        <family val="2"/>
      </rPr>
      <t>0.05 cfm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>sf_f@  50 Pa</t>
    </r>
  </si>
  <si>
    <r>
      <rPr>
        <sz val="11"/>
        <color rgb="FF131313"/>
        <rFont val="Arial"/>
        <family val="2"/>
      </rPr>
      <t>Internal shading</t>
    </r>
  </si>
  <si>
    <r>
      <rPr>
        <sz val="11"/>
        <color rgb="FF131313"/>
        <rFont val="Arial"/>
        <family val="2"/>
      </rPr>
      <t>NR</t>
    </r>
  </si>
  <si>
    <r>
      <rPr>
        <sz val="11"/>
        <color rgb="FF131313"/>
        <rFont val="Arial"/>
        <family val="2"/>
      </rPr>
      <t>Add internal shading and control to reduce solar heat gain</t>
    </r>
  </si>
  <si>
    <r>
      <rPr>
        <sz val="11"/>
        <color rgb="FF131313"/>
        <rFont val="Arial"/>
        <family val="2"/>
      </rPr>
      <t xml:space="preserve">Black-out shades to provide reduced </t>
    </r>
    <r>
      <rPr>
        <i/>
        <sz val="11"/>
        <color rgb="FF131313"/>
        <rFont val="Arial"/>
        <family val="2"/>
      </rPr>
      <t xml:space="preserve">net </t>
    </r>
    <r>
      <rPr>
        <sz val="11"/>
        <color rgb="FF131313"/>
        <rFont val="Arial"/>
        <family val="2"/>
      </rPr>
      <t>amount of solar gain into the space</t>
    </r>
  </si>
  <si>
    <r>
      <rPr>
        <b/>
        <sz val="11"/>
        <color rgb="FF131313"/>
        <rFont val="Arial"/>
        <family val="2"/>
      </rPr>
      <t>Lighting</t>
    </r>
  </si>
  <si>
    <r>
      <rPr>
        <sz val="11"/>
        <color rgb="FF131313"/>
        <rFont val="Arial"/>
        <family val="2"/>
      </rPr>
      <t xml:space="preserve">Optimize interior lighting layout to </t>
    </r>
    <r>
      <rPr>
        <sz val="11"/>
        <color rgb="FF2A2A2A"/>
        <rFont val="Arial"/>
        <family val="2"/>
      </rPr>
      <t xml:space="preserve">achieve </t>
    </r>
    <r>
      <rPr>
        <sz val="11"/>
        <color rgb="FF131313"/>
        <rFont val="Arial"/>
        <family val="2"/>
      </rPr>
      <t>20-30% better than 100% CD baseline</t>
    </r>
  </si>
  <si>
    <r>
      <rPr>
        <sz val="11"/>
        <color rgb="FF131313"/>
        <rFont val="Arial"/>
        <family val="2"/>
      </rPr>
      <t>Total lighting load (inclusive of code exemptions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>allowances)</t>
    </r>
  </si>
  <si>
    <r>
      <rPr>
        <sz val="11"/>
        <color rgb="FF131313"/>
        <rFont val="Arial"/>
        <family val="2"/>
      </rPr>
      <t>20-30% improvement from total lighting load (inclusive of code exemptions/ allowances)</t>
    </r>
  </si>
  <si>
    <r>
      <rPr>
        <sz val="11"/>
        <color rgb="FF131313"/>
        <rFont val="Arial"/>
        <family val="2"/>
      </rPr>
      <t>To meet goal</t>
    </r>
    <r>
      <rPr>
        <sz val="11"/>
        <color rgb="FF383838"/>
        <rFont val="Arial"/>
        <family val="2"/>
      </rPr>
      <t xml:space="preserve">, </t>
    </r>
    <r>
      <rPr>
        <sz val="11"/>
        <color rgb="FF131313"/>
        <rFont val="Arial"/>
        <family val="2"/>
      </rPr>
      <t xml:space="preserve">the following will be required to ensure both energy efficient and visually </t>
    </r>
    <r>
      <rPr>
        <sz val="11"/>
        <color rgb="FF2A2A2A"/>
        <rFont val="Arial"/>
        <family val="2"/>
      </rPr>
      <t xml:space="preserve">viable </t>
    </r>
    <r>
      <rPr>
        <sz val="11"/>
        <color rgb="FF131313"/>
        <rFont val="Arial"/>
        <family val="2"/>
      </rPr>
      <t xml:space="preserve">results:
</t>
    </r>
    <r>
      <rPr>
        <sz val="11"/>
        <color rgb="FF4B4B4B"/>
        <rFont val="Arial"/>
        <family val="2"/>
      </rPr>
      <t>-</t>
    </r>
    <r>
      <rPr>
        <sz val="11"/>
        <color rgb="FF131313"/>
        <rFont val="Arial"/>
        <family val="2"/>
      </rPr>
      <t>Downward revision of Classroom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 xml:space="preserve">Meeting  Rm./Training Rm. </t>
    </r>
    <r>
      <rPr>
        <sz val="11"/>
        <color rgb="FF2A2A2A"/>
        <rFont val="Arial"/>
        <family val="2"/>
      </rPr>
      <t xml:space="preserve">avg. </t>
    </r>
    <r>
      <rPr>
        <sz val="11"/>
        <color rgb="FF131313"/>
        <rFont val="Arial"/>
        <family val="2"/>
      </rPr>
      <t xml:space="preserve">maintained lighting criteria from 40fc to 30-35fc.
</t>
    </r>
    <r>
      <rPr>
        <sz val="11"/>
        <color rgb="FF383838"/>
        <rFont val="Arial"/>
        <family val="2"/>
      </rPr>
      <t xml:space="preserve">-   </t>
    </r>
    <r>
      <rPr>
        <sz val="11"/>
        <color rgb="FF131313"/>
        <rFont val="Arial"/>
        <family val="2"/>
      </rPr>
      <t xml:space="preserve">Utilization of higher reflectance (+83%) lay in ceiling tile modules (Armstrong </t>
    </r>
    <r>
      <rPr>
        <sz val="11"/>
        <color rgb="FF2A2A2A"/>
        <rFont val="Arial"/>
        <family val="2"/>
      </rPr>
      <t xml:space="preserve">Calla, </t>
    </r>
    <r>
      <rPr>
        <sz val="11"/>
        <color rgb="FF131313"/>
        <rFont val="Arial"/>
        <family val="2"/>
      </rPr>
      <t xml:space="preserve">Ultima, Lyra, Optima)
</t>
    </r>
    <r>
      <rPr>
        <sz val="11"/>
        <color rgb="FF383838"/>
        <rFont val="Arial"/>
        <family val="2"/>
      </rPr>
      <t xml:space="preserve">-  </t>
    </r>
    <r>
      <rPr>
        <sz val="11"/>
        <color rgb="FF131313"/>
        <rFont val="Arial"/>
        <family val="2"/>
      </rPr>
      <t>Changing  furniture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 xml:space="preserve">table top specifications in offices and classrooms to employ lighter value </t>
    </r>
    <r>
      <rPr>
        <sz val="11"/>
        <color rgb="FF383838"/>
        <rFont val="Arial"/>
        <family val="2"/>
      </rPr>
      <t>/</t>
    </r>
    <r>
      <rPr>
        <sz val="11"/>
        <color rgb="FF131313"/>
        <rFont val="Arial"/>
        <family val="2"/>
      </rPr>
      <t xml:space="preserve">higher reflectance materials (i.e. white or very light colors)
</t>
    </r>
    <r>
      <rPr>
        <sz val="11"/>
        <color rgb="FF606060"/>
        <rFont val="Arial"/>
        <family val="2"/>
      </rPr>
      <t xml:space="preserve">-   </t>
    </r>
    <r>
      <rPr>
        <sz val="11"/>
        <color rgb="FF131313"/>
        <rFont val="Arial"/>
        <family val="2"/>
      </rPr>
      <t xml:space="preserve">Re-specificationof most currently specified LED products to reflect higher efficacies
</t>
    </r>
    <r>
      <rPr>
        <sz val="11"/>
        <color rgb="FF606060"/>
        <rFont val="Arial"/>
        <family val="2"/>
      </rPr>
      <t xml:space="preserve">-   </t>
    </r>
    <r>
      <rPr>
        <sz val="11"/>
        <color rgb="FF131313"/>
        <rFont val="Arial"/>
        <family val="2"/>
      </rPr>
      <t xml:space="preserve">Re-specification of the currently designed 0-lOV lighting control system to reflect the use of the DALI (Digital Addressable Lighting Interface) based or comparable control system to allow for a Lumen Maintenance control protocol to be introduced
</t>
    </r>
    <r>
      <rPr>
        <sz val="11"/>
        <color rgb="FF606060"/>
        <rFont val="Arial"/>
        <family val="2"/>
      </rPr>
      <t xml:space="preserve">-  </t>
    </r>
    <r>
      <rPr>
        <sz val="11"/>
        <color rgb="FF131313"/>
        <rFont val="Arial"/>
        <family val="2"/>
      </rPr>
      <t xml:space="preserve">Con figuration of local controls in Offices and </t>
    </r>
    <r>
      <rPr>
        <sz val="11"/>
        <color rgb="FF2A2A2A"/>
        <rFont val="Arial"/>
        <family val="2"/>
      </rPr>
      <t xml:space="preserve">Classrooms </t>
    </r>
    <r>
      <rPr>
        <sz val="11"/>
        <color rgb="FF131313"/>
        <rFont val="Arial"/>
        <family val="2"/>
      </rPr>
      <t xml:space="preserve">to prevent </t>
    </r>
    <r>
      <rPr>
        <sz val="11"/>
        <color rgb="FF2A2A2A"/>
        <rFont val="Arial"/>
        <family val="2"/>
      </rPr>
      <t xml:space="preserve">activation </t>
    </r>
    <r>
      <rPr>
        <sz val="11"/>
        <color rgb="FF131313"/>
        <rFont val="Arial"/>
        <family val="2"/>
      </rPr>
      <t xml:space="preserve">of artificial lighting systems when </t>
    </r>
    <r>
      <rPr>
        <sz val="11"/>
        <color rgb="FF2A2A2A"/>
        <rFont val="Arial"/>
        <family val="2"/>
      </rPr>
      <t xml:space="preserve">average </t>
    </r>
    <r>
      <rPr>
        <sz val="11"/>
        <color rgb="FF131313"/>
        <rFont val="Arial"/>
        <family val="2"/>
      </rPr>
      <t>daylight levels in these rooms are above an average of 40fc</t>
    </r>
  </si>
  <si>
    <r>
      <rPr>
        <sz val="11"/>
        <color rgb="FF131313"/>
        <rFont val="Arial"/>
        <family val="2"/>
      </rPr>
      <t>Upgrade exterior lighting to be 20-30% better than baseline</t>
    </r>
  </si>
  <si>
    <r>
      <rPr>
        <sz val="11"/>
        <color rgb="FF131313"/>
        <rFont val="Arial"/>
        <family val="2"/>
      </rPr>
      <t>Optimize exterior lighting layout to achieve 20-30% better than 100% CD baseline</t>
    </r>
  </si>
  <si>
    <r>
      <rPr>
        <sz val="11"/>
        <color rgb="FF131313"/>
        <rFont val="Arial"/>
        <family val="2"/>
      </rPr>
      <t>20-30% improvement from total lighting load (inclusive of code exemptions</t>
    </r>
    <r>
      <rPr>
        <sz val="11"/>
        <color rgb="FF383838"/>
        <rFont val="Arial"/>
        <family val="2"/>
      </rPr>
      <t xml:space="preserve">/ </t>
    </r>
    <r>
      <rPr>
        <sz val="11"/>
        <color rgb="FF131313"/>
        <rFont val="Arial"/>
        <family val="2"/>
      </rPr>
      <t>allowances)</t>
    </r>
  </si>
  <si>
    <r>
      <rPr>
        <b/>
        <sz val="11"/>
        <color rgb="FF131313"/>
        <rFont val="Arial"/>
        <family val="2"/>
      </rPr>
      <t>Plug Loads</t>
    </r>
  </si>
  <si>
    <r>
      <rPr>
        <sz val="11"/>
        <color rgb="FF131313"/>
        <rFont val="Arial"/>
        <family val="2"/>
      </rPr>
      <t>Plug Load Control</t>
    </r>
  </si>
  <si>
    <r>
      <rPr>
        <sz val="11"/>
        <color rgb="FF131313"/>
        <rFont val="Arial"/>
        <family val="2"/>
      </rPr>
      <t>Add controllable outlets to manage plug loads to comply with ASHRAE 90.1- 2016 requirements.</t>
    </r>
  </si>
  <si>
    <r>
      <rPr>
        <sz val="11"/>
        <color rgb="FF131313"/>
        <rFont val="Arial"/>
        <family val="2"/>
      </rPr>
      <t xml:space="preserve">50% of 125 V receptacles in applicable spaces to be off20 mins </t>
    </r>
    <r>
      <rPr>
        <sz val="11"/>
        <color rgb="FF2A2A2A"/>
        <rFont val="Arial"/>
        <family val="2"/>
      </rPr>
      <t xml:space="preserve">after </t>
    </r>
    <r>
      <rPr>
        <sz val="11"/>
        <color rgb="FF131313"/>
        <rFont val="Arial"/>
        <family val="2"/>
      </rPr>
      <t>occupants leave space</t>
    </r>
  </si>
  <si>
    <r>
      <rPr>
        <sz val="11"/>
        <color rgb="FF131313"/>
        <rFont val="Arial"/>
        <family val="2"/>
      </rPr>
      <t>Load reduction</t>
    </r>
  </si>
  <si>
    <r>
      <rPr>
        <sz val="11"/>
        <color rgb="FF131313"/>
        <rFont val="Arial"/>
        <family val="2"/>
      </rPr>
      <t>Reduce effective space load by 20%,e</t>
    </r>
    <r>
      <rPr>
        <sz val="11"/>
        <color rgb="FF4B4B4B"/>
        <rFont val="Arial"/>
        <family val="2"/>
      </rPr>
      <t>.</t>
    </r>
    <r>
      <rPr>
        <sz val="11"/>
        <color rgb="FF131313"/>
        <rFont val="Arial"/>
        <family val="2"/>
      </rPr>
      <t>g. by limiting the amount of time that equipment not in use is on</t>
    </r>
  </si>
  <si>
    <r>
      <rPr>
        <sz val="11"/>
        <color rgb="FF131313"/>
        <rFont val="Arial"/>
        <family val="2"/>
      </rPr>
      <t>20% Equipment Power Density reduction, or equivalent reduction in the amount of time
plug loads are on</t>
    </r>
  </si>
  <si>
    <r>
      <rPr>
        <b/>
        <sz val="11"/>
        <color rgb="FF131313"/>
        <rFont val="Arial"/>
        <family val="2"/>
      </rPr>
      <t>Data Center</t>
    </r>
  </si>
  <si>
    <r>
      <rPr>
        <sz val="11"/>
        <color rgb="FF131313"/>
        <rFont val="Arial"/>
        <family val="2"/>
      </rPr>
      <t>Reduce Data Center by 15%</t>
    </r>
  </si>
  <si>
    <r>
      <rPr>
        <sz val="11"/>
        <color rgb="FF131313"/>
        <rFont val="Arial"/>
        <family val="2"/>
      </rPr>
      <t>Reduced datacenter load by 15%</t>
    </r>
  </si>
  <si>
    <r>
      <rPr>
        <sz val="11"/>
        <color rgb="FF131313"/>
        <rFont val="Arial"/>
        <family val="2"/>
      </rPr>
      <t xml:space="preserve">Need feedback from IT consultant </t>
    </r>
    <r>
      <rPr>
        <sz val="11"/>
        <color rgb="FF383838"/>
        <rFont val="Arial"/>
        <family val="2"/>
      </rPr>
      <t xml:space="preserve">/ </t>
    </r>
    <r>
      <rPr>
        <sz val="11"/>
        <color rgb="FF131313"/>
        <rFont val="Arial"/>
        <family val="2"/>
      </rPr>
      <t>ownership: what level of reduction is feasible (if any)?</t>
    </r>
  </si>
  <si>
    <r>
      <rPr>
        <b/>
        <sz val="11"/>
        <color rgb="FF030303"/>
        <rFont val="Arial"/>
        <family val="2"/>
      </rPr>
      <t>HVAC</t>
    </r>
  </si>
  <si>
    <r>
      <rPr>
        <sz val="11"/>
        <color rgb="FF161616"/>
        <rFont val="Arial"/>
        <family val="2"/>
      </rPr>
      <t>Centralized GS HVAC</t>
    </r>
  </si>
  <si>
    <r>
      <rPr>
        <sz val="11"/>
        <color rgb="FF161616"/>
        <rFont val="Arial"/>
        <family val="2"/>
      </rPr>
      <t xml:space="preserve">Centralized GSHP (HR chiller) </t>
    </r>
    <r>
      <rPr>
        <sz val="11"/>
        <color rgb="FF030303"/>
        <rFont val="Arial"/>
        <family val="2"/>
      </rPr>
      <t xml:space="preserve">+ </t>
    </r>
    <r>
      <rPr>
        <sz val="11"/>
        <color rgb="FF161616"/>
        <rFont val="Arial"/>
        <family val="2"/>
      </rPr>
      <t>central AHU, VAV w/reheat (hydro)</t>
    </r>
  </si>
  <si>
    <r>
      <rPr>
        <sz val="11"/>
        <color rgb="FF161616"/>
        <rFont val="Arial"/>
        <family val="2"/>
      </rPr>
      <t>Minimum efficiency requirements for HYAC</t>
    </r>
  </si>
  <si>
    <r>
      <rPr>
        <sz val="11"/>
        <color rgb="FF161616"/>
        <rFont val="Arial"/>
        <family val="2"/>
      </rPr>
      <t xml:space="preserve">Provide HYAC with performance that is at </t>
    </r>
    <r>
      <rPr>
        <sz val="11"/>
        <color rgb="FF030303"/>
        <rFont val="Arial"/>
        <family val="2"/>
      </rPr>
      <t>le</t>
    </r>
    <r>
      <rPr>
        <sz val="11"/>
        <color rgb="FF363636"/>
        <rFont val="Arial"/>
        <family val="2"/>
      </rPr>
      <t>a</t>
    </r>
    <r>
      <rPr>
        <sz val="11"/>
        <color rgb="FF161616"/>
        <rFont val="Arial"/>
        <family val="2"/>
      </rPr>
      <t>st 10% better than code</t>
    </r>
  </si>
  <si>
    <r>
      <rPr>
        <sz val="11"/>
        <color rgb="FF161616"/>
        <rFont val="Arial"/>
        <family val="2"/>
      </rPr>
      <t xml:space="preserve">Centralized ASHP (air-cooled HR chiller) </t>
    </r>
    <r>
      <rPr>
        <sz val="11"/>
        <color rgb="FF030303"/>
        <rFont val="Arial"/>
        <family val="2"/>
      </rPr>
      <t xml:space="preserve">+ </t>
    </r>
    <r>
      <rPr>
        <sz val="11"/>
        <color rgb="FF161616"/>
        <rFont val="Arial"/>
        <family val="2"/>
      </rPr>
      <t>central AHU, VAV w</t>
    </r>
    <r>
      <rPr>
        <sz val="11"/>
        <color rgb="FF363636"/>
        <rFont val="Arial"/>
        <family val="2"/>
      </rPr>
      <t xml:space="preserve">/ </t>
    </r>
    <r>
      <rPr>
        <sz val="11"/>
        <color rgb="FF161616"/>
        <rFont val="Arial"/>
        <family val="2"/>
      </rPr>
      <t>reheat (hydro)</t>
    </r>
  </si>
  <si>
    <r>
      <rPr>
        <sz val="11"/>
        <color rgb="FF161616"/>
        <rFont val="Arial"/>
        <family val="2"/>
      </rPr>
      <t xml:space="preserve">Provide HVAC with performance that </t>
    </r>
    <r>
      <rPr>
        <sz val="11"/>
        <color rgb="FF030303"/>
        <rFont val="Arial"/>
        <family val="2"/>
      </rPr>
      <t xml:space="preserve">is </t>
    </r>
    <r>
      <rPr>
        <sz val="11"/>
        <color rgb="FF161616"/>
        <rFont val="Arial"/>
        <family val="2"/>
      </rPr>
      <t xml:space="preserve">at </t>
    </r>
    <r>
      <rPr>
        <sz val="11"/>
        <color rgb="FF030303"/>
        <rFont val="Arial"/>
        <family val="2"/>
      </rPr>
      <t xml:space="preserve">least </t>
    </r>
    <r>
      <rPr>
        <sz val="11"/>
        <color rgb="FF161616"/>
        <rFont val="Arial"/>
        <family val="2"/>
      </rPr>
      <t>10% better than code</t>
    </r>
  </si>
  <si>
    <r>
      <rPr>
        <sz val="11"/>
        <color rgb="FF161616"/>
        <rFont val="Arial"/>
        <family val="2"/>
      </rPr>
      <t xml:space="preserve">Air-cooled chiller and electric boiler serving a condenser water </t>
    </r>
    <r>
      <rPr>
        <sz val="11"/>
        <color rgb="FF030303"/>
        <rFont val="Arial"/>
        <family val="2"/>
      </rPr>
      <t>loop</t>
    </r>
    <r>
      <rPr>
        <sz val="11"/>
        <color rgb="FF545454"/>
        <rFont val="Arial"/>
        <family val="2"/>
      </rPr>
      <t xml:space="preserve">. </t>
    </r>
    <r>
      <rPr>
        <sz val="11"/>
        <color rgb="FF161616"/>
        <rFont val="Arial"/>
        <family val="2"/>
      </rPr>
      <t xml:space="preserve">Condenser </t>
    </r>
    <r>
      <rPr>
        <sz val="11"/>
        <color rgb="FF030303"/>
        <rFont val="Arial"/>
        <family val="2"/>
      </rPr>
      <t xml:space="preserve">loop </t>
    </r>
    <r>
      <rPr>
        <sz val="11"/>
        <color rgb="FF161616"/>
        <rFont val="Arial"/>
        <family val="2"/>
      </rPr>
      <t>serves distributed heat pumps conditioning spaces+ DOAS</t>
    </r>
  </si>
  <si>
    <r>
      <rPr>
        <b/>
        <sz val="11"/>
        <color rgb="FF030303"/>
        <rFont val="Arial"/>
        <family val="2"/>
      </rPr>
      <t>Controls</t>
    </r>
  </si>
  <si>
    <r>
      <rPr>
        <sz val="11"/>
        <color rgb="FF161616"/>
        <rFont val="Arial"/>
        <family val="2"/>
      </rPr>
      <t>Demand Control Ventilation</t>
    </r>
  </si>
  <si>
    <r>
      <rPr>
        <sz val="11"/>
        <color rgb="FF161616"/>
        <rFont val="Arial"/>
        <family val="2"/>
      </rPr>
      <t xml:space="preserve">Add demand control ventilation to reduce heating and cooling </t>
    </r>
    <r>
      <rPr>
        <sz val="11"/>
        <color rgb="FF030303"/>
        <rFont val="Arial"/>
        <family val="2"/>
      </rPr>
      <t xml:space="preserve">loads </t>
    </r>
    <r>
      <rPr>
        <sz val="11"/>
        <color rgb="FF363636"/>
        <rFont val="Arial"/>
        <family val="2"/>
      </rPr>
      <t>.</t>
    </r>
  </si>
  <si>
    <r>
      <rPr>
        <sz val="11"/>
        <color rgb="FF161616"/>
        <rFont val="Arial"/>
        <family val="2"/>
      </rPr>
      <t>Where required by code</t>
    </r>
  </si>
  <si>
    <r>
      <rPr>
        <sz val="11"/>
        <color rgb="FF161616"/>
        <rFont val="Arial"/>
        <family val="2"/>
      </rPr>
      <t>Applicable to all spaces</t>
    </r>
  </si>
  <si>
    <r>
      <rPr>
        <sz val="11"/>
        <color rgb="FF161616"/>
        <rFont val="Arial"/>
        <family val="2"/>
      </rPr>
      <t>Relax setpoints</t>
    </r>
  </si>
  <si>
    <r>
      <rPr>
        <sz val="11"/>
        <color rgb="FF161616"/>
        <rFont val="Arial"/>
        <family val="2"/>
      </rPr>
      <t xml:space="preserve">Relax setpoints in transient spaces (corridors) from heating and cooling setpoints of 72F </t>
    </r>
    <r>
      <rPr>
        <sz val="11"/>
        <color rgb="FF363636"/>
        <rFont val="Arial"/>
        <family val="2"/>
      </rPr>
      <t>a</t>
    </r>
    <r>
      <rPr>
        <sz val="11"/>
        <color rgb="FF030303"/>
        <rFont val="Arial"/>
        <family val="2"/>
      </rPr>
      <t xml:space="preserve">nd </t>
    </r>
    <r>
      <rPr>
        <sz val="11"/>
        <color rgb="FF161616"/>
        <rFont val="Arial"/>
        <family val="2"/>
      </rPr>
      <t>75F to 68F and 80F.</t>
    </r>
  </si>
  <si>
    <r>
      <rPr>
        <b/>
        <sz val="11"/>
        <color rgb="FF030303"/>
        <rFont val="Arial"/>
        <family val="2"/>
      </rPr>
      <t>Water</t>
    </r>
  </si>
  <si>
    <r>
      <rPr>
        <sz val="11"/>
        <color rgb="FF161616"/>
        <rFont val="Arial"/>
        <family val="2"/>
      </rPr>
      <t>Low Flow Faucets &amp; Fixtures</t>
    </r>
  </si>
  <si>
    <r>
      <rPr>
        <sz val="11"/>
        <color rgb="FF030303"/>
        <rFont val="Arial"/>
        <family val="2"/>
      </rPr>
      <t xml:space="preserve">Upgrade </t>
    </r>
    <r>
      <rPr>
        <sz val="11"/>
        <color rgb="FF161616"/>
        <rFont val="Arial"/>
        <family val="2"/>
      </rPr>
      <t xml:space="preserve">to </t>
    </r>
    <r>
      <rPr>
        <sz val="11"/>
        <color rgb="FF030303"/>
        <rFont val="Arial"/>
        <family val="2"/>
      </rPr>
      <t xml:space="preserve">low </t>
    </r>
    <r>
      <rPr>
        <sz val="11"/>
        <color rgb="FF161616"/>
        <rFont val="Arial"/>
        <family val="2"/>
      </rPr>
      <t xml:space="preserve">flow faucets and fixtures to conserve water and reduce DHW </t>
    </r>
    <r>
      <rPr>
        <sz val="11"/>
        <color rgb="FF030303"/>
        <rFont val="Arial"/>
        <family val="2"/>
      </rPr>
      <t>loads.</t>
    </r>
  </si>
  <si>
    <r>
      <rPr>
        <sz val="11"/>
        <color rgb="FF161616"/>
        <rFont val="Arial"/>
        <family val="2"/>
      </rPr>
      <t>Kitchen faucet: 1.5 gpm
Restroom faucet 0.35 gpm Shower</t>
    </r>
    <r>
      <rPr>
        <sz val="11"/>
        <color rgb="FF363636"/>
        <rFont val="Arial"/>
        <family val="2"/>
      </rPr>
      <t xml:space="preserve">: </t>
    </r>
    <r>
      <rPr>
        <sz val="11"/>
        <color rgb="FF030303"/>
        <rFont val="Arial"/>
        <family val="2"/>
      </rPr>
      <t xml:space="preserve">1.5 </t>
    </r>
    <r>
      <rPr>
        <sz val="11"/>
        <color rgb="FF161616"/>
        <rFont val="Arial"/>
        <family val="2"/>
      </rPr>
      <t>gpm</t>
    </r>
  </si>
  <si>
    <t>ADD</t>
  </si>
  <si>
    <t>High performance triple glazed windows w/ insulated vinyl frame, 1/2" air, 1/4" glass</t>
  </si>
  <si>
    <t>DEDUCT</t>
  </si>
  <si>
    <t>Allow for 3/4" shear studs</t>
  </si>
  <si>
    <t>EA</t>
  </si>
  <si>
    <t>Increase in reinforced concrete parapet wall 8"</t>
  </si>
  <si>
    <t>CY</t>
  </si>
  <si>
    <t>Second floor roof area - 2,085 SF includes canopies</t>
  </si>
  <si>
    <t>Main roof area/ Clerestory - 13,379 SF</t>
  </si>
  <si>
    <t>Stair Bulkhead roof  area -  494 SF</t>
  </si>
  <si>
    <t>Roof lnsulation (Passive House level)</t>
  </si>
  <si>
    <t>Rigid insulation increase to R-60</t>
  </si>
  <si>
    <t>Rigid insulation increase from 3" to 6"</t>
  </si>
  <si>
    <t>UHPC window returns</t>
  </si>
  <si>
    <t>LF</t>
  </si>
  <si>
    <t>Steel for bent plates and relieving angles</t>
  </si>
  <si>
    <t>TON</t>
  </si>
  <si>
    <t>Structural thermal breaks at permieter (assume thermal break every 20LF)</t>
  </si>
  <si>
    <t>Concrete revisions based on reducing Basement area by 1,400 square feet at south and 460 square feet at north</t>
  </si>
  <si>
    <t>GM</t>
  </si>
  <si>
    <t>Concrete slab on grade at basement - 1,400 SF + 460 SF - Options 2 &amp; 3</t>
  </si>
  <si>
    <t>Concrete fill on deck at first floor - 820 SF (exclude areaway) + 460 SF - Options 2 &amp; 3</t>
  </si>
  <si>
    <t>Concrete foundation walls / areaway walls at basement - Options 2 &amp; 3</t>
  </si>
  <si>
    <t xml:space="preserve">Deduct - 236 LF x 16' high x 1' th /  Add 174 LF x 16' high x 1' th </t>
  </si>
  <si>
    <t>Concrete encasement of steel columns at basement reduced building perimeter walls - Options 2 &amp; 3</t>
  </si>
  <si>
    <t>Deduct - 1' x 1' x 15' high x 5 each</t>
  </si>
  <si>
    <t>Concrete perimeter wall footings at building and areaway walls at basement - Options 2 &amp; 3</t>
  </si>
  <si>
    <t xml:space="preserve">Deduct - 236 LF x 2.5' x 1' /  Add 174 LF x 2.5' x 1' </t>
  </si>
  <si>
    <t>Add back concrete slab on grade at first floor- 1,400 SF + 460 SF  (Note : 820 SF of this will be in site at deleted areaway) - Options 2 &amp; 3</t>
  </si>
  <si>
    <t>Structural revisions based on reducing Basement area by 1,400 square feet at south and 460 square feet at north</t>
  </si>
  <si>
    <t>Structural steel beam and column framing at first floor- (1,400 SF + 460 SF) x 17 LB / SF - Options 2 &amp; 3</t>
  </si>
  <si>
    <t>Crane to lift structural steel - (1,400 SF + 460 SF) x 17 LB / SF - Options 2 &amp; 3</t>
  </si>
  <si>
    <t>3" Galvanized metal deck at first floor - 820 SF (exclude areaway) + 460 SF - Options 2 &amp; 3</t>
  </si>
  <si>
    <t>1 1/2" Steel grating at deleted south areaway - Options 2 &amp; 3</t>
  </si>
  <si>
    <t>Galvanized steel framing at above areaway grating - allow 5 LBS / SF - Options 2 &amp; 3</t>
  </si>
  <si>
    <t>LB</t>
  </si>
  <si>
    <t>Steel ladder and hatch at deleted south areaway - Options 2 &amp; 3</t>
  </si>
  <si>
    <t>Galvanized steel framing at added rooftop screen wall - allow 20 LBS / SF - Options 2 &amp; 3</t>
  </si>
  <si>
    <t>Option 3 -  21LF x 13' high x 20 LB / SF</t>
  </si>
  <si>
    <t>Allowance of two tons of structural steel at roof for new dunnage and huskier roof beams under dunnage - As per Architect - Options 2 &amp; 3</t>
  </si>
  <si>
    <t>Crane to lift structural steel - two tons - Options 2 &amp; 3</t>
  </si>
  <si>
    <t>Exterior paint for structural steel - two tons - Options 2 &amp; 3</t>
  </si>
  <si>
    <t xml:space="preserve">Galvanized steel framing at added rooftop screen wall - allow 20 LBS / SF - Option 2 </t>
  </si>
  <si>
    <t>Option 2 - 15 LF x 13' high x 20 LB / SF</t>
  </si>
  <si>
    <t>Reorganize and redesign roof structural framing at three rooftop AHU units as per note by LERA on Option No. 1 drawing A-104  Cannot quantify this item</t>
  </si>
  <si>
    <t>Architectural revisions based on reducing Basement area by 1,400 square feet at south and 460 square feet at north</t>
  </si>
  <si>
    <t>Deduct fireproofing and fire stopping based on reduced gross enclosed area at basement - Options 2 &amp; 3</t>
  </si>
  <si>
    <t>Deduct waterproofing based on reduced gross enclosed area at basement - Options 2 &amp; 3</t>
  </si>
  <si>
    <t>Deduct insulation, caulking and sealants based on reduced gross enclosed area at basement - Options 2 &amp; 3</t>
  </si>
  <si>
    <t>Assume no exterior wall revisions at first floor - Options 1, 2 &amp; 3</t>
  </si>
  <si>
    <t>No work</t>
  </si>
  <si>
    <t>Furnish and install single flush insulated hollow metal core doors and frames including all finish hardware at basement areaways - Options 2 &amp; 3</t>
  </si>
  <si>
    <t>Furnish and install double flush insulated hollow metal core doors and frames including all finish hardware at basement areaways - Options 2 &amp; 3</t>
  </si>
  <si>
    <t>PR</t>
  </si>
  <si>
    <t>EXTERIOR SCREEN WALL AT ROOF</t>
  </si>
  <si>
    <t>Exterior roof wall screen assembly with UHPC ultra high performance panels at new cooling tower at roof - Structural framing separate - Option  3</t>
  </si>
  <si>
    <t>Option 3 - 21 LF x 13' high - credit</t>
  </si>
  <si>
    <t xml:space="preserve">Exterior roof wall screen assembly with UHPC ultra high performance panels at new cooling tower at roof - Structural framing separate - Option 2 </t>
  </si>
  <si>
    <t>Option 2 - 15 LF x 13' high</t>
  </si>
  <si>
    <t>WALLS</t>
  </si>
  <si>
    <t>Type 2A,2B: Corridor partition - 2 layers 5/8" GWB / 3 5/8" metal studs / batt insulation / 2 layers 5/8" GWB - impact &amp; mold resistant - Note: These walls are deducted because foundation walls at basement at pushed back because of reduced enclosed area - 150 LF x 15' ht - Options 2 &amp; 3</t>
  </si>
  <si>
    <t>FLOOR  FINISHES</t>
  </si>
  <si>
    <t>Paint concrete at exposed concrete floors at basement (exclude areaway) - Options 2 &amp; 3</t>
  </si>
  <si>
    <t>WALL  FINISHES</t>
  </si>
  <si>
    <t>Prime and paint interior gypsum board walls  - Options 2 &amp; 3</t>
  </si>
  <si>
    <t>CEILINGS</t>
  </si>
  <si>
    <t>Paint exposed ceilings at basement - Options 2 &amp; 3</t>
  </si>
  <si>
    <t>Vertical shaftwall enlargement at second and third floors - 3 locations - Options 1, 2 &amp; 3</t>
  </si>
  <si>
    <t>LOC</t>
  </si>
  <si>
    <t xml:space="preserve">Fire supression revisions based on reducing Basement area by 1,400 square feet at south and 460 square feet at north </t>
  </si>
  <si>
    <t xml:space="preserve">HVAC revisions based on reducing Basement area by 1,400 square feet at south and 460 square feet at north </t>
  </si>
  <si>
    <t>Venting and heating based on reduced gross enclosed area at basement  at Option 2 and Option 3  (Exclude areaway  ) - use 1,280 SF</t>
  </si>
  <si>
    <t xml:space="preserve">Power and lighting revisions based on reducing Basement area by 1,400 square feet at south and 460 square feet at north </t>
  </si>
  <si>
    <t xml:space="preserve">Telecom revisions based on reducing Basement area by 1,400 square feet at south and 460 square feet at north </t>
  </si>
  <si>
    <t xml:space="preserve">Electronic Safety and Security revisions based on reducing Basement area by 1,400 square feet at south and 460 square feet at north </t>
  </si>
  <si>
    <t>Mass cut earth at reduced basement and areaway and stockpile for reuse</t>
  </si>
  <si>
    <t>Reuse earth  backfill at reduced basement and areaway</t>
  </si>
  <si>
    <t>Pro rata share of pumping allowance during construction</t>
  </si>
  <si>
    <t>Credit for  Deletion of on site Cooling Tower slab and enclosure for Options 1, 2 &amp; 3</t>
  </si>
  <si>
    <t xml:space="preserve">Cooling Tower Enclosure and Dunnage </t>
  </si>
  <si>
    <t>6" crushed stone gravel paving at cooling tower - includes 6" mow strip around outside</t>
  </si>
  <si>
    <t xml:space="preserve">6'W x 1.5' D continuous wall footing for the 12" thick block wall enclosure for cooling tower </t>
  </si>
  <si>
    <t xml:space="preserve">Concrete Footing for cooling towers support columns and reinforced concrete pedestal for cooling tower support framing </t>
  </si>
  <si>
    <t xml:space="preserve">Galvanized steel support framing for cooling tower </t>
  </si>
  <si>
    <t>LBS</t>
  </si>
  <si>
    <t xml:space="preserve">12" thick CMU block wall with grout infill and #7 rebar - 18' H x 140 LF </t>
  </si>
  <si>
    <t xml:space="preserve">4" CMU filled solid with concrete on the outter side of the wall on the footing  - 2' H x 145 LF </t>
  </si>
  <si>
    <t xml:space="preserve">6" Concrete Slab on additional 6" crushed Stone Footing </t>
  </si>
  <si>
    <t xml:space="preserve">10" Concrete Slab on additional 6" crushed Stone Footing - 4 SF </t>
  </si>
  <si>
    <t>Enclosure</t>
  </si>
  <si>
    <t>Aluminum Composite Panels to Cooling Tower Enclosure</t>
  </si>
  <si>
    <t>Extra-over for Aluminum Composite Panel coping</t>
  </si>
  <si>
    <t>Extra-over for SS flashing</t>
  </si>
  <si>
    <t>Electric Domestic water heater, associated piping. (Add to the base to replace the heat exchanger)</t>
  </si>
  <si>
    <t>Allow</t>
  </si>
  <si>
    <t>Heat recovery Chiller - 120 Ton, Model#TPWCCMV0600T-MM-HR-3HX (Option-1)</t>
  </si>
  <si>
    <t>Air Cooled Heat recovery Chiller - 120 Ton, Model#TPACVMV0300T3-MM-HR-VS (Option-2)</t>
  </si>
  <si>
    <t>RTAH-1,2,3 Roof Top Air Handling Unit - 11,000 CFM, 40 Ton (Option-1 &amp;2)</t>
  </si>
  <si>
    <t>Pre-treatment loops</t>
  </si>
  <si>
    <t>Air Source Heat Pump Chiller,120 ton</t>
  </si>
  <si>
    <t>Horizon-Air Source Heat Pump, DOAS, 8250 cfm. Model#OANE648A3-C1C400JR-00000AC7JR2G50BOB5CO</t>
  </si>
  <si>
    <t xml:space="preserve">WSHP, Water souce heat pump, 1-10 mbh </t>
  </si>
  <si>
    <t>WSHP, Water souce heat pump, 11-20 mbh</t>
  </si>
  <si>
    <t>WSHP, Water souce heat pump, 21-30 mbh</t>
  </si>
  <si>
    <t>Condenser water loop S/R piping and insulation, Main</t>
  </si>
  <si>
    <t>Condenser water loop S/R piping and insulation, Branch</t>
  </si>
  <si>
    <t>Cond. Drain piping, pump, valves, Pan, supports</t>
  </si>
  <si>
    <t>Refrigerant piping</t>
  </si>
  <si>
    <t>BMS system. DDC Controls w/ Programming, Tie-In, Headend Equipment, etc., option-3</t>
  </si>
  <si>
    <t>Rigging</t>
  </si>
  <si>
    <t>CT-1,2 Cooling Towers and SSF-1 Side-Stream Filter</t>
  </si>
  <si>
    <t>CH-1,2 Water Cooled Liquid Chiller - 100 Ton, 240/300 GPM</t>
  </si>
  <si>
    <t>AHU-1,2,3 Air Handling Unit - 15,900 CFM, 55 Ton incl. Sound Attenuators</t>
  </si>
  <si>
    <t>HX-1,2 Heat Exchanger, Shell and Tube - 575 MBH</t>
  </si>
  <si>
    <t>HX-3,4 Heat Exchanger, Shell and Tube - 1,764 MBH</t>
  </si>
  <si>
    <t>PRVS-1 and valves</t>
  </si>
  <si>
    <t>CWS/R Piping</t>
  </si>
  <si>
    <t>Duct and insulation reduction due to reduced CFM, option-1&amp;-2</t>
  </si>
  <si>
    <t>Duct and insulation reduction, option-3</t>
  </si>
  <si>
    <t>Duct accessories, Supply Diffuser/Return Register, Dampers, option-3</t>
  </si>
  <si>
    <t>VAV Boxes w/reheat coil, option-3</t>
  </si>
  <si>
    <t>MPS/LPS/LPC and vent  Piping</t>
  </si>
  <si>
    <t>Equipment connections, Cooling towers, Heat Exchangers</t>
  </si>
  <si>
    <t>HWS/R Piping, option-3</t>
  </si>
  <si>
    <t>CHWS/R Piping, option-3</t>
  </si>
  <si>
    <t>Chilled water pump, Heating hot water pump, Pre-heat water pump, option-3</t>
  </si>
  <si>
    <t>Concrete foundation walls at perimeter of basement and areaways walls include all formwork and reinforcing ( 16' height)</t>
  </si>
  <si>
    <t>Continuous concrete wall footings supporting building foundation walls at basement ( 2' deep ) , at areaway foundation walls ( 2.5') -include all formwork and reinforcing</t>
  </si>
  <si>
    <t>14" thick Perimeter grade wall (refer to detail B/S-500 or A/S-503) - 526 LF</t>
  </si>
  <si>
    <t>Perimeter Grade wall foundation ( 2' wide x 1' deep) - 492 LF</t>
  </si>
  <si>
    <t>Blackout shades at exterior windows</t>
  </si>
  <si>
    <t>High performance triple glazed windows w/ insulated vinyl frame, 1/2" air, 1/4" glass at curtain wall</t>
  </si>
  <si>
    <t>Rigid insulation board (R7.5ci to R15ci ) at  basement foundation walls - 4' down only</t>
  </si>
  <si>
    <t xml:space="preserve">Rigid Insulation (R7.5ci to R15ci ) at perimeter grade beam </t>
  </si>
  <si>
    <t>3/4"EMT</t>
  </si>
  <si>
    <t>#12</t>
  </si>
  <si>
    <t>1"EMT</t>
  </si>
  <si>
    <t>#10</t>
  </si>
  <si>
    <t>Chiller ( In Basement )</t>
  </si>
  <si>
    <t>CHWP 1,2 ( Allow 2 Pumps )</t>
  </si>
  <si>
    <t>10HP - VFD Install Only</t>
  </si>
  <si>
    <t>3/4"EMT - 4#12 - CHWP 1,2 to PPHB</t>
  </si>
  <si>
    <t xml:space="preserve">AHU 1,2,3 </t>
  </si>
  <si>
    <t xml:space="preserve">PPAH-1,2,,3 ( Panels for AHU ) - 75A - Allow </t>
  </si>
  <si>
    <t xml:space="preserve">PPH3 to PP-AH1,2,3 - 3#4, #8 - 1"EMT </t>
  </si>
  <si>
    <t>#4</t>
  </si>
  <si>
    <t>#8</t>
  </si>
  <si>
    <t>5HP VFD - Install Only</t>
  </si>
  <si>
    <t>AHU1,2,3 to 5HP VFD - 3/4"EMT - 4#12</t>
  </si>
  <si>
    <t>10HP VFD - Install Only</t>
  </si>
  <si>
    <t>AHU1,2,3 to 10HP VFD - 3/4"EMT - 4#10</t>
  </si>
  <si>
    <t>Deduct (  Base Set  )</t>
  </si>
  <si>
    <t xml:space="preserve">Chiller 1, 2 </t>
  </si>
  <si>
    <t xml:space="preserve">Disconnect Switch - 250A </t>
  </si>
  <si>
    <t>MDB to Chiller - 2"EMT - 3#3/0, 1#4</t>
  </si>
  <si>
    <t>2"EMT</t>
  </si>
  <si>
    <t>#3/0</t>
  </si>
  <si>
    <t>CHWP 1,2,3</t>
  </si>
  <si>
    <t>3/4"EMT - 4#12 - CHWP 1,3 to PPHB</t>
  </si>
  <si>
    <t>3/4"EMT - 4#10 - CHWP 2 to PPHB</t>
  </si>
  <si>
    <t>PPAH-1,2,,3 ( Panels for AHU ) - 100A</t>
  </si>
  <si>
    <t>PPH3 to PP-AH1,2,3 - 3#2, #8 - 1-1/2"EMT</t>
  </si>
  <si>
    <t>1-1/2"EMT</t>
  </si>
  <si>
    <t>#2</t>
  </si>
  <si>
    <t>7.5HP VFD - Install Only</t>
  </si>
  <si>
    <t>AHU1,2,3 to 7.5HP VFD - 3/4"EMT - 4#12</t>
  </si>
  <si>
    <t>15HP VFD - Install Only</t>
  </si>
  <si>
    <t>AHU1,2,3 to 15HP VFD - 3/4"EMT - 4#10</t>
  </si>
  <si>
    <t xml:space="preserve">Junction Box - Heat Exchanger </t>
  </si>
  <si>
    <t>Total</t>
  </si>
  <si>
    <t>Additional cost for landscaping</t>
  </si>
  <si>
    <t>Ext-11 - Cooling tower door - Double leaves of 4' x 8'6" door, hollow metal insulated 1 3/4"  thick, painted, complete with SC/EXT threshold including hardware</t>
  </si>
  <si>
    <t>Geothermal</t>
  </si>
  <si>
    <t>Landscaping</t>
  </si>
  <si>
    <t>Geothermal loop from building to geothermal field</t>
  </si>
  <si>
    <t>Geothermal loop, boring, piping</t>
  </si>
  <si>
    <t>Geothermal pump and controls</t>
  </si>
  <si>
    <t>Add ( Option 2 Criteria )</t>
  </si>
  <si>
    <t>Chiller ( In Roof )</t>
  </si>
  <si>
    <t>Add ( Option 3 Criteria )</t>
  </si>
  <si>
    <t>DOAS ( In Roof )</t>
  </si>
  <si>
    <t xml:space="preserve">Disconnect Switch - 125A - Allow </t>
  </si>
  <si>
    <t xml:space="preserve">MDB to DOAS - 1-1/2"EMT - 4#1, 1#6 </t>
  </si>
  <si>
    <t>#1</t>
  </si>
  <si>
    <t>#6</t>
  </si>
  <si>
    <t xml:space="preserve">Junction Box - Heat Pumps </t>
  </si>
  <si>
    <t>Junction Box - VAV</t>
  </si>
  <si>
    <t>Material</t>
  </si>
  <si>
    <t>Labor</t>
  </si>
  <si>
    <t>PREVIOUS ESTIMATE</t>
  </si>
  <si>
    <t>Unit</t>
  </si>
  <si>
    <t>02-00-01 Site Clearing</t>
  </si>
  <si>
    <t>Construct and maintain 8' high construction fence and wind screen - 3,130 LF</t>
  </si>
  <si>
    <t>Clear and grub site as required - original</t>
  </si>
  <si>
    <t>Fine grading:</t>
  </si>
  <si>
    <t>Fine grading to achieve subgrade levels of pavements across site</t>
  </si>
  <si>
    <t>Soft landscaping:</t>
  </si>
  <si>
    <t>Protect trees</t>
  </si>
  <si>
    <t>Remove trees - 0" - 8"</t>
  </si>
  <si>
    <t>Remove trees - 8"-35"</t>
  </si>
  <si>
    <t>Remove trees &gt;35"</t>
  </si>
  <si>
    <t>Remove trees - sizing not specified</t>
  </si>
  <si>
    <t>Hard landscaping:</t>
  </si>
  <si>
    <t>Remove existing bench</t>
  </si>
  <si>
    <t>Remove existing curb</t>
  </si>
  <si>
    <t>Remove existing retaining wall</t>
  </si>
  <si>
    <t>Remove pavement</t>
  </si>
  <si>
    <t>Remove sign</t>
  </si>
  <si>
    <t>Sawcut Pavement</t>
  </si>
  <si>
    <t>Works within C-101 paths (Grey) area:</t>
  </si>
  <si>
    <t>Remove concrete pavement, curb &amp; bitumen</t>
  </si>
  <si>
    <t>Extra-over removal of concrete pavement for removal of existing curb</t>
  </si>
  <si>
    <t>Remove wood bench</t>
  </si>
  <si>
    <t>Remove sidewalk concrete walls</t>
  </si>
  <si>
    <t>Remove sidewalk masonry walls</t>
  </si>
  <si>
    <t>Car Park</t>
  </si>
  <si>
    <t>Site clearing:</t>
  </si>
  <si>
    <t>Clear and grub site as required - parking</t>
  </si>
  <si>
    <t>02-00-02 Earthwork</t>
  </si>
  <si>
    <t>Mass cut earth at south side of basement and basement areaways</t>
  </si>
  <si>
    <t>Mass cut earth at first floor for SOG</t>
  </si>
  <si>
    <t xml:space="preserve">Overcut on the north side of the building for foundation walls - 260LF x 15.25 avg. deep ( step cut) on  side ( 1766 SF) </t>
  </si>
  <si>
    <t xml:space="preserve">Overcut excavation for areas beyond the above cut area - 9,140 SF x 10' avg. depth </t>
  </si>
  <si>
    <t xml:space="preserve">Isolated excavation for footings/ pits at cellar level foundation only </t>
  </si>
  <si>
    <t xml:space="preserve">Reuse earth backfill </t>
  </si>
  <si>
    <t>Disposal of excess earth cut off site</t>
  </si>
  <si>
    <t>Sheeting at basement and basement areaways at back of building only (Sinclair Building) - assume 20' Depth and 325' Length ( as per C-104)</t>
  </si>
  <si>
    <t>Pumping during construction</t>
  </si>
  <si>
    <t>Monts</t>
  </si>
  <si>
    <t xml:space="preserve">Site Grading </t>
  </si>
  <si>
    <t>Cut/fill on site generally +- 2' deep</t>
  </si>
  <si>
    <t>Minor spreading and levelling to carpark generally finished to exist. levels</t>
  </si>
  <si>
    <t>02-00-03 Pavements</t>
  </si>
  <si>
    <t>P1: Concrete Sidewalk with brick border</t>
  </si>
  <si>
    <t>Compact subgrade &amp;  place 6" RCA fill</t>
  </si>
  <si>
    <t>Decorative 8" concrete pavement w/ in situ sawcut joints, 6 x 6 x 10" Wire Mesh</t>
  </si>
  <si>
    <t>Extra-over P1 for 3 unit concrete paver bands, sand blinding &amp; edge restraint</t>
  </si>
  <si>
    <t>P2: Concrete Sidewalk Standard</t>
  </si>
  <si>
    <t>Compact subgrade, lay woven geotextile &amp; place  6" clean stone</t>
  </si>
  <si>
    <t>8" thk 4000 PSI w/ 6 x 6 x 10/10 Wire Mesh</t>
  </si>
  <si>
    <t>P3: Concrete Plank Paver</t>
  </si>
  <si>
    <t>P3.1: Compact subgrade, place 8" compacted dense graded aggregate base</t>
  </si>
  <si>
    <t>P3.1: 6" concrete base w/ 6 x 6 x 10 wire mesh, 3/4" sand bed &amp; concrete unit plank pavers</t>
  </si>
  <si>
    <t>P3.2: Place 2'0" certified structural soil on uncompacted subgrade</t>
  </si>
  <si>
    <t>P3.2: Concrete unit plank pavers only</t>
  </si>
  <si>
    <t>Edging:</t>
  </si>
  <si>
    <t>2" thick 1' wide Bluestone edging on 4" Compacted crushed stone, 1" stone dust</t>
  </si>
  <si>
    <t>Cast stone base on epoxy to perimeter of cooling tower</t>
  </si>
  <si>
    <t>Asphalt Pavement</t>
  </si>
  <si>
    <t>Compacted subgrade and lay Mirafi 500X or equal geotextile fabric, 12" compacted granular basecourse</t>
  </si>
  <si>
    <t>Lay 4" bituminous concrete basecourse, 3" binder course and 1" bituminous conc wearing course</t>
  </si>
  <si>
    <t>Supply and install curbs to carpark</t>
  </si>
  <si>
    <t>Raised concrete pavement to carpark</t>
  </si>
  <si>
    <t>Line marking</t>
  </si>
  <si>
    <t>Parking diagonal striping</t>
  </si>
  <si>
    <t>Zebra Crossing</t>
  </si>
  <si>
    <t>Parking alignment striping - per space</t>
  </si>
  <si>
    <t>Extra-over for wheelchair painting</t>
  </si>
  <si>
    <t>Concrete ramp and footings at the rear entrance at south of building</t>
  </si>
  <si>
    <t>02-00-04 Site Features</t>
  </si>
  <si>
    <t>Concrete pad</t>
  </si>
  <si>
    <t>Knee Wall up to frost Line for the 6" concrete pad outside the building ( 8" thick) - 20 LF</t>
  </si>
  <si>
    <t>8" Lean Concrete Trench box for Utilities - 30LF long</t>
  </si>
  <si>
    <t>`</t>
  </si>
  <si>
    <t>Building exterior entry stair including granite  finish treads and risers, concrete footings and grade beams and all associated earthwork</t>
  </si>
  <si>
    <t>Free standing railing at above entry stair and ramps</t>
  </si>
  <si>
    <t>Walls</t>
  </si>
  <si>
    <t>Brick faced retaining wall:</t>
  </si>
  <si>
    <t>Excavation for footing</t>
  </si>
  <si>
    <t>Dispose off remaining earth</t>
  </si>
  <si>
    <t>Concrete for wall foundation w/ reinforcement and formwork</t>
  </si>
  <si>
    <t>Compacted gravel</t>
  </si>
  <si>
    <t xml:space="preserve">Brick facing for the retaining wall </t>
  </si>
  <si>
    <t>24" wide, 4" thick precast capstone</t>
  </si>
  <si>
    <t>Fixtures</t>
  </si>
  <si>
    <t>Precast Concrete Bench:</t>
  </si>
  <si>
    <t>Granite bench 4' x 18" x 18" monolithic</t>
  </si>
  <si>
    <t>Extra over for 4" haunch to granite bench</t>
  </si>
  <si>
    <t>Bike Racks</t>
  </si>
  <si>
    <t>Surface mounted bike racks</t>
  </si>
  <si>
    <t>Carpark</t>
  </si>
  <si>
    <t>Temporary Works</t>
  </si>
  <si>
    <t>Build and maintain site staging area and rent construction trailers, fencing  as required</t>
  </si>
  <si>
    <t>MONTH</t>
  </si>
  <si>
    <t>Silt fence</t>
  </si>
  <si>
    <t>Stabilized construction area 36 x 24</t>
  </si>
  <si>
    <t>2 x 12'0" Construction fence</t>
  </si>
  <si>
    <t>Inlet protection to catch basins</t>
  </si>
  <si>
    <t xml:space="preserve">Site Improvements </t>
  </si>
  <si>
    <t>Signage:</t>
  </si>
  <si>
    <t xml:space="preserve">Free Standing Site Building Signage </t>
  </si>
  <si>
    <t>Accessible parking space sign</t>
  </si>
  <si>
    <t>No Parking Sign</t>
  </si>
  <si>
    <t>Reserved Parking Sign</t>
  </si>
  <si>
    <t>Stop Sign</t>
  </si>
  <si>
    <t>Fixtures:</t>
  </si>
  <si>
    <t>Manual swing vehicle entry gate including footings</t>
  </si>
  <si>
    <t>02-00-05 Concrete Walks</t>
  </si>
  <si>
    <t>w/ 02-00-04</t>
  </si>
  <si>
    <t>02-00-06 Utilities-Plumbing</t>
  </si>
  <si>
    <t>Water Service</t>
  </si>
  <si>
    <t>Cut and cap existing water line</t>
  </si>
  <si>
    <t>CONN</t>
  </si>
  <si>
    <t>Relocate existing water valve</t>
  </si>
  <si>
    <t>Remove existing manholes</t>
  </si>
  <si>
    <t>Remove existing water line</t>
  </si>
  <si>
    <t>Water valves - 8"</t>
  </si>
  <si>
    <t>New 12" water service piping - include all trenching and backfill</t>
  </si>
  <si>
    <t>New 8" water service piping - include all trenching and backfill</t>
  </si>
  <si>
    <t>New 3" domestic water piping - include all trenching and backfill</t>
  </si>
  <si>
    <t>Connections to new building</t>
  </si>
  <si>
    <t>Relocate fire hydrant</t>
  </si>
  <si>
    <t>New 6" sprinkler service piping - include all trenching and backfill</t>
  </si>
  <si>
    <t>New curb valve and box</t>
  </si>
  <si>
    <t>Sanitary/ Sewer Service</t>
  </si>
  <si>
    <t>Relocate sanitary manhole</t>
  </si>
  <si>
    <t>Remove sewer line</t>
  </si>
  <si>
    <t>Seal manhole penetration</t>
  </si>
  <si>
    <t>New 4" sewer service piping - include all trenching and backfill</t>
  </si>
  <si>
    <t>Manholes (2 new with connections to 3 existing)</t>
  </si>
  <si>
    <t>Connections to existing sanitary sewer manholes</t>
  </si>
  <si>
    <t>Connections to new building w/ 4" pumped sewer</t>
  </si>
  <si>
    <t>Re Route Gas Service</t>
  </si>
  <si>
    <t>Remove existing gas line</t>
  </si>
  <si>
    <t>Gas Valve</t>
  </si>
  <si>
    <t>New gas services piping '3" Gas Pipe w/ 3' cover</t>
  </si>
  <si>
    <t>Connections to existing gas line</t>
  </si>
  <si>
    <t>Shut offs</t>
  </si>
  <si>
    <t>Steam Service</t>
  </si>
  <si>
    <t>Demolition:</t>
  </si>
  <si>
    <t>Cap the underground pipe</t>
  </si>
  <si>
    <t>Demolish steam line back to manhole</t>
  </si>
  <si>
    <t>New Work:</t>
  </si>
  <si>
    <t>Steam manhole</t>
  </si>
  <si>
    <t>Pipe end cap</t>
  </si>
  <si>
    <t>Connect new Underground Pipe to existing</t>
  </si>
  <si>
    <t>Piping</t>
  </si>
  <si>
    <t>Concrete anchor block for steam pipe</t>
  </si>
  <si>
    <t>Guide for steam pipe</t>
  </si>
  <si>
    <t>6" CWS&amp;R Underground</t>
  </si>
  <si>
    <t>6" MPS Underground</t>
  </si>
  <si>
    <t>4" MPS Underground</t>
  </si>
  <si>
    <t xml:space="preserve">New 4" Steam piping - include all trenching and backfill </t>
  </si>
  <si>
    <t>2-1/2" PCR Underground</t>
  </si>
  <si>
    <t>New 2" Glycol piping - include all trenching and backfill</t>
  </si>
  <si>
    <t>New 2" condenser piping - include all trenching and backfill</t>
  </si>
  <si>
    <t>2" PCR Underground</t>
  </si>
  <si>
    <t>1" MPC line</t>
  </si>
  <si>
    <t>1" MW line</t>
  </si>
  <si>
    <t>Dry Well</t>
  </si>
  <si>
    <t>Remove stormwater line</t>
  </si>
  <si>
    <t>Remove catch basin</t>
  </si>
  <si>
    <t>Equipment:</t>
  </si>
  <si>
    <t>Construct new curb inlets</t>
  </si>
  <si>
    <t>Relocate existing field inlets</t>
  </si>
  <si>
    <t>New drywells</t>
  </si>
  <si>
    <t xml:space="preserve">New catch basin </t>
  </si>
  <si>
    <t>Relocate existing dry wells</t>
  </si>
  <si>
    <t>Piping:</t>
  </si>
  <si>
    <t>10" Storm pipe</t>
  </si>
  <si>
    <t xml:space="preserve">15" HDPE pipe </t>
  </si>
  <si>
    <t>Storm water connection to existing drywells</t>
  </si>
  <si>
    <t>Connections:</t>
  </si>
  <si>
    <t>New connections to existing main</t>
  </si>
  <si>
    <t>Conn</t>
  </si>
  <si>
    <t xml:space="preserve">Drainage at cooling tower </t>
  </si>
  <si>
    <t>Perforated ABS piping to with filter fabric to cooling tower footings, including 6" deep crushed stone</t>
  </si>
  <si>
    <t xml:space="preserve">Additional Sanitary Scope </t>
  </si>
  <si>
    <t>New Sanitary Manhole MH#1 and MH#3 ( including excavation and back fill)</t>
  </si>
  <si>
    <t>Furnish and install new sanitary manhole chamber ( including excavation and backfill)</t>
  </si>
  <si>
    <t xml:space="preserve">Furnish and install 12" sanitary pipe with 18" PVC casing filled with concrete </t>
  </si>
  <si>
    <t xml:space="preserve">Excavation and backfill as required for pipe </t>
  </si>
  <si>
    <t>Pavements to be restored due to installation of the pipe or manhole</t>
  </si>
  <si>
    <t xml:space="preserve">Grass or landscaping restoration </t>
  </si>
  <si>
    <t>02-00-07 Utilities- Heating/Cooling</t>
  </si>
  <si>
    <t>02-00-08 Utilities- Electrical</t>
  </si>
  <si>
    <t>DEMO  WORKS</t>
  </si>
  <si>
    <t>Remove Duct Bank - 13.2KV</t>
  </si>
  <si>
    <t>Manhole</t>
  </si>
  <si>
    <t>Remove Duct Bank - 2.4KV</t>
  </si>
  <si>
    <t xml:space="preserve">Remove Other Duct Bank </t>
  </si>
  <si>
    <t>Remove Light Pole</t>
  </si>
  <si>
    <t>Removal of  Light Pole Conduit &amp; Wiring</t>
  </si>
  <si>
    <t>NEW WORKS</t>
  </si>
  <si>
    <t>Site Power Equipment</t>
  </si>
  <si>
    <t>Liquid Filled - 750KVA - 13.2KVA - 277/480V - 3Ph,4W( Outdoor Pad Mtd )</t>
  </si>
  <si>
    <t>Power Feeders</t>
  </si>
  <si>
    <t>Incoming Power - EMH26A to EMH26D-3#2( 15KV,133%EPR 4"PVC SCH 80) DB-(1'-16" X1'-6")(2A,2SP)</t>
  </si>
  <si>
    <t>4"PVC SCH 80</t>
  </si>
  <si>
    <t>3#2( 15KV,133%EPR )</t>
  </si>
  <si>
    <t xml:space="preserve">Concrete </t>
  </si>
  <si>
    <t>Excavation &amp; Backfill</t>
  </si>
  <si>
    <t>Splicing at Existing MH</t>
  </si>
  <si>
    <t>Locs</t>
  </si>
  <si>
    <t>750KVA to MDP - 4 Sets - 4#350MCM, #3/0 - 4"PVC Sch 80  DB - (1'-6" X 2' ) ( 4A, 2SP )</t>
  </si>
  <si>
    <t>#350MCM</t>
  </si>
  <si>
    <t>Temporary Power Equipment</t>
  </si>
  <si>
    <t>225A - Circuit Breaker ( NEMA 3R )</t>
  </si>
  <si>
    <t>150KVA - 480-120/208V - 3Ph, 4W - Outdoor Mounted</t>
  </si>
  <si>
    <t>600A - 120/208V - 3Ph, 4W - Temporary Power Panel</t>
  </si>
  <si>
    <t>Temporary Power Feeders</t>
  </si>
  <si>
    <t xml:space="preserve">Temporary Feeder - 750KVA to 225A CB and 225A CB, 150KVA X'fmer to Temp Power Panel </t>
  </si>
  <si>
    <t>Power to Fire Pump,PPHC Panel</t>
  </si>
  <si>
    <t>2"PVC</t>
  </si>
  <si>
    <t>SITE COMMUNICATIONS</t>
  </si>
  <si>
    <t>Site Security Infra</t>
  </si>
  <si>
    <t xml:space="preserve">1" PVC with concrete encasement </t>
  </si>
  <si>
    <t>4-4" PVC</t>
  </si>
  <si>
    <t>4" PVC</t>
  </si>
  <si>
    <t>Concrete</t>
  </si>
  <si>
    <t>Excavation and Back fill</t>
  </si>
  <si>
    <t>Communication Manholes</t>
  </si>
  <si>
    <t>4-4" PVC, 2 - 2"PVC</t>
  </si>
  <si>
    <t>2" PVC</t>
  </si>
  <si>
    <t>2 - 2"PVC</t>
  </si>
  <si>
    <t>Site Lighting</t>
  </si>
  <si>
    <t>FX1</t>
  </si>
  <si>
    <t>FX2</t>
  </si>
  <si>
    <t>FX2A</t>
  </si>
  <si>
    <t>FX3</t>
  </si>
  <si>
    <t>FX3A</t>
  </si>
  <si>
    <t>FX4 w/ Foundations</t>
  </si>
  <si>
    <t>FX4A w/ Foundations</t>
  </si>
  <si>
    <t>FX4B w/ Foundations</t>
  </si>
  <si>
    <t>FX5 w/ Foundations</t>
  </si>
  <si>
    <t>FX6</t>
  </si>
  <si>
    <t>FT</t>
  </si>
  <si>
    <t>FX7</t>
  </si>
  <si>
    <t>FX7A</t>
  </si>
  <si>
    <t>FX8</t>
  </si>
  <si>
    <t>FX8A</t>
  </si>
  <si>
    <t>FX9</t>
  </si>
  <si>
    <t>FX10</t>
  </si>
  <si>
    <t>1"PVC</t>
  </si>
  <si>
    <t>1"RGS</t>
  </si>
  <si>
    <t>2"EMT( Inside Building to Panel Site Lighting Panel )</t>
  </si>
  <si>
    <t>1"EMT( Inside Building to Panel OLR )</t>
  </si>
  <si>
    <t xml:space="preserve">Lighting Control </t>
  </si>
  <si>
    <t>Ruggedized Sensor  w/ Wall Mounting Kit</t>
  </si>
  <si>
    <t>Mechanical Feeders(CT)</t>
  </si>
  <si>
    <t>02-00-09 Planting</t>
  </si>
  <si>
    <t>Surface treatment:</t>
  </si>
  <si>
    <t>Seeded Lawn area w/ stripping and stockpiling topsoil, placing 6" top soil and scarifying existing subgrade upto 4", 9" lawn soil and lawn</t>
  </si>
  <si>
    <t>Planting area w/ stripping and stockpiling top soil, placing 6" topsoil and scarifying existing subgrade upto 6", 24" planting soil and 2" shredded hardwood mulch</t>
  </si>
  <si>
    <t xml:space="preserve">Carpark Area </t>
  </si>
  <si>
    <t>Seeded lawn area</t>
  </si>
  <si>
    <t>Extra-over seeded lawn area for Planting area w/ stripping and stockpiling top soil, placing 6" topsoil and scarifying existing subgrade upto 6", 24" planting soil and 2" shredded hardwood mulch</t>
  </si>
  <si>
    <t>Trees:</t>
  </si>
  <si>
    <t>Shadblow - 7' - 8'ht/ B&amp;B, Full, Multi-trunk</t>
  </si>
  <si>
    <t>Heritage River Birch - 3" cal / B&amp;B / Branching at 6'ht, Single-trunk</t>
  </si>
  <si>
    <t>Heritage River Birch - 8'-10' ht/ B&amp;B /Multi- trunk</t>
  </si>
  <si>
    <t>Forest Pansy Redbud - 8' -10'ht/ 2-2 1/2" cal./ B&amp;B/Branching at 5'ht</t>
  </si>
  <si>
    <t>Sweet bay Magnolia - 7' - 8' ht/ B&amp;B/ Multi-trunk/ Full</t>
  </si>
  <si>
    <t>White Oak - 2 1/2" - 3" cal./ min, 12' - 14' ht/ B&amp;B/ Branching at 6' ht.</t>
  </si>
  <si>
    <t>Green Giant' Arborvitae - 7' - 8'ht/ B&amp;B</t>
  </si>
  <si>
    <t>Swamp White Oak - 2 1/2" - 3" cal./ min, 12' - 14' ht/ B&amp;B/ Branching at 6' ht.</t>
  </si>
  <si>
    <t>Flowering Dogwood - 7' - 8' ht/ B&amp;B</t>
  </si>
  <si>
    <t>Shrubs/Vines:</t>
  </si>
  <si>
    <t>Dwarf Deutzia - 3 gal container</t>
  </si>
  <si>
    <t>Dwarf Fothergilla - 30" - 36" ht/ 7 gallon min</t>
  </si>
  <si>
    <t>Smooth Hydrangea - 24" - 30" ht/ 7 gallon min</t>
  </si>
  <si>
    <t>Compact Inkberry - 30" - 36" ht/ 7 gallon min</t>
  </si>
  <si>
    <t>Olympis Wedding Mountain Laurel - 30" - 36" ht/ B&amp;B/ Fully branched from top to bottom</t>
  </si>
  <si>
    <t>Herbaceous Perennials/Groundcovers:</t>
  </si>
  <si>
    <t>Thread Leaf Blue Star - 1 Gal./ fully rooted, 1 yr.-old plant, plant 15" o.c.</t>
  </si>
  <si>
    <t>Grasses:</t>
  </si>
  <si>
    <t>Sedge - 1 Gal./ fully rooted, 1 yr-old plant, plant 15" o.c.</t>
  </si>
  <si>
    <t>Ruby Muhly - 1 Gal./ fully rooted, 1 yr-old plant, plant 15" o.c.</t>
  </si>
  <si>
    <t>Switch Grass - 3 Gal./ fully rooted, 1 yr-old plant, plant 24" o.c.</t>
  </si>
  <si>
    <t>Creeping broadleaf sedge - 1 Gal./ fully rooted, 1 yr-old plant, plant 15" o.c.</t>
  </si>
  <si>
    <t>Common periwinkle - 1 Gal./ fully rooted, 1 yr-old plant, plant 12" o.c.</t>
  </si>
  <si>
    <t>02-00-10 Abatement</t>
  </si>
  <si>
    <t xml:space="preserve">Cost as Provided by abatement consultant </t>
  </si>
  <si>
    <t xml:space="preserve">Site </t>
  </si>
  <si>
    <t>Outside Building Connection - MDP to PPHC - 2"PVC - 4#1, 1#8</t>
  </si>
  <si>
    <t xml:space="preserve">Excavation &amp; Backfill </t>
  </si>
  <si>
    <t xml:space="preserve">Building </t>
  </si>
  <si>
    <t xml:space="preserve">Inside Building Connection - MDP to PPHC - 2"EMT - 4#1, 1#8 </t>
  </si>
  <si>
    <t>Connections &amp; Devices -  Inside Cooling Tower</t>
  </si>
  <si>
    <t>PPHC Panel 100A - 3Ph, 4 W - 277/480V</t>
  </si>
  <si>
    <t>MPZ Panel - 60A - 3Ph, 4W - 120/208V</t>
  </si>
  <si>
    <t xml:space="preserve">PPHC to MPZ - 3#8, 1#10 - 3/4"EMT </t>
  </si>
  <si>
    <t xml:space="preserve">Wiring Devices </t>
  </si>
  <si>
    <t>Duplex Receptacle GFI - WP</t>
  </si>
  <si>
    <t>3/4"RGS</t>
  </si>
  <si>
    <t xml:space="preserve">Mechanical Equipment Devices </t>
  </si>
  <si>
    <t xml:space="preserve">3HP VFD- Install Only - WP - CT- 1,2 </t>
  </si>
  <si>
    <t xml:space="preserve">Junction Box - WP - 3/4"RGS - 3#12 </t>
  </si>
  <si>
    <t xml:space="preserve">Motor Starter w/ Disconnect 30A - WP - 1"RGS - 4#12 </t>
  </si>
  <si>
    <t xml:space="preserve">Site Lighting </t>
  </si>
  <si>
    <t xml:space="preserve">Cooling Tower -Electrical </t>
  </si>
  <si>
    <t>Site Work</t>
  </si>
  <si>
    <t>Base Option</t>
  </si>
  <si>
    <t>TOTAL Construction cost w/Bid Contingency (&amp; Site Work)</t>
  </si>
  <si>
    <t>ADD ( Option 1 Criteria )</t>
  </si>
  <si>
    <t>Electrochromic glazing at exterior windows</t>
  </si>
  <si>
    <t>Provide air vapor barrier to achieve infiltration rates (increase from 0.4cfm/sf to 0.05cfm/sf)</t>
  </si>
  <si>
    <t>Exterior Wall Type 1 - 3 1/4" Thermally broken aluminum framed fixed windows with 1" insulated glass including metal infill panels (at exterior masonry walls) Double glazed - See drawing A-210</t>
  </si>
  <si>
    <t>Exterior full height Curtainwall - vision and spandrel panels -  1" insulated spandrel glazing / 2 1/2" galv metal stud / vapor barrier   Double glazed- see sections 1, 7 &amp; 8 on drawing A-215</t>
  </si>
  <si>
    <t>Electrochromic glazing at curtainwall</t>
  </si>
  <si>
    <t>Motorized Shades at classrooms ( including power, control and wiring as required)</t>
  </si>
  <si>
    <t>CO2 controls</t>
  </si>
  <si>
    <t>Additional cost for low flow faucets and fixtures</t>
  </si>
  <si>
    <t>By Owner</t>
  </si>
  <si>
    <t xml:space="preserve">120V -  Control Panel </t>
  </si>
  <si>
    <t xml:space="preserve">Occupancy Sensor </t>
  </si>
  <si>
    <t xml:space="preserve">LV Wires &amp; Outlet Boxes </t>
  </si>
  <si>
    <t>Duplex Receptacle ( 50% Receptacles to LCP )</t>
  </si>
  <si>
    <t>3/4"EMT(Power)</t>
  </si>
  <si>
    <t>1/2"EMT(Control)</t>
  </si>
  <si>
    <t xml:space="preserve">Control Wiring </t>
  </si>
  <si>
    <t>Duplex Receptacle ( to Ckt Breakers )</t>
  </si>
  <si>
    <t>Upgrade interior lighting to be 20-30% better than baseline (With DALI)</t>
  </si>
  <si>
    <t>Upgrade interior lighting to be 20-30% better than baseline (With Out DALI)</t>
  </si>
  <si>
    <t>Duplex Receptacle</t>
  </si>
  <si>
    <t>Duplex Receptacle - GFI</t>
  </si>
  <si>
    <t>Duplex Receptacle - GFI - WP</t>
  </si>
  <si>
    <t>Duplex Receptacle - WP</t>
  </si>
  <si>
    <t>Quad Receptacle</t>
  </si>
  <si>
    <t>30A Receptacle</t>
  </si>
  <si>
    <t>Poke Thru - Duplex Receptacle ( Ceiling Mtd )</t>
  </si>
  <si>
    <t>Poke Thru - Duplex Receptacle &amp; Tele/Data ( Ceiling Mtd )</t>
  </si>
  <si>
    <t>P- Power Feed ( Electrified Furniture System ) JB</t>
  </si>
  <si>
    <t>D- Data Feed ( Electrified Furniture System ) JB</t>
  </si>
  <si>
    <t>Ground Pull Box</t>
  </si>
  <si>
    <t xml:space="preserve">E1 </t>
  </si>
  <si>
    <t xml:space="preserve">E2 </t>
  </si>
  <si>
    <t xml:space="preserve">E3 </t>
  </si>
  <si>
    <t xml:space="preserve">E4 </t>
  </si>
  <si>
    <t xml:space="preserve">E5 </t>
  </si>
  <si>
    <t xml:space="preserve">E6 </t>
  </si>
  <si>
    <t xml:space="preserve">E7 </t>
  </si>
  <si>
    <t xml:space="preserve">L1a </t>
  </si>
  <si>
    <t xml:space="preserve">L1b </t>
  </si>
  <si>
    <t xml:space="preserve">L2 </t>
  </si>
  <si>
    <t xml:space="preserve">P2 </t>
  </si>
  <si>
    <t xml:space="preserve">P3 </t>
  </si>
  <si>
    <t xml:space="preserve">D1 </t>
  </si>
  <si>
    <t xml:space="preserve">H1 </t>
  </si>
  <si>
    <t xml:space="preserve">H2 </t>
  </si>
  <si>
    <t xml:space="preserve">H3 </t>
  </si>
  <si>
    <t xml:space="preserve">C1 </t>
  </si>
  <si>
    <t xml:space="preserve">C2 </t>
  </si>
  <si>
    <t xml:space="preserve">W1 </t>
  </si>
  <si>
    <t>ELA</t>
  </si>
  <si>
    <t>SDA</t>
  </si>
  <si>
    <t>ELS</t>
  </si>
  <si>
    <t>Damin</t>
  </si>
  <si>
    <t xml:space="preserve">International Lights </t>
  </si>
  <si>
    <t>F1</t>
  </si>
  <si>
    <t>F1A</t>
  </si>
  <si>
    <t>F3</t>
  </si>
  <si>
    <t>F3A</t>
  </si>
  <si>
    <t>F4</t>
  </si>
  <si>
    <t>F5</t>
  </si>
  <si>
    <t>F5B</t>
  </si>
  <si>
    <t>F5C</t>
  </si>
  <si>
    <t>F6</t>
  </si>
  <si>
    <t>F6A</t>
  </si>
  <si>
    <t>F7</t>
  </si>
  <si>
    <t>F7A</t>
  </si>
  <si>
    <t>F8</t>
  </si>
  <si>
    <t>F8A</t>
  </si>
  <si>
    <t>F9</t>
  </si>
  <si>
    <t>F11</t>
  </si>
  <si>
    <t>F12</t>
  </si>
  <si>
    <t>F14</t>
  </si>
  <si>
    <t>F15</t>
  </si>
  <si>
    <t>F17</t>
  </si>
  <si>
    <t>F17A</t>
  </si>
  <si>
    <t>F20</t>
  </si>
  <si>
    <t>F20A</t>
  </si>
  <si>
    <t>F21</t>
  </si>
  <si>
    <t>F21A</t>
  </si>
  <si>
    <t>#12 - Lights</t>
  </si>
  <si>
    <t>#12 - DALI</t>
  </si>
  <si>
    <t>F6a</t>
  </si>
  <si>
    <t>F7a</t>
  </si>
  <si>
    <t>F8a</t>
  </si>
  <si>
    <t>F15a</t>
  </si>
  <si>
    <t>F20a</t>
  </si>
  <si>
    <t>F21a</t>
  </si>
  <si>
    <t>Reflected as Concept Estimate</t>
  </si>
  <si>
    <t>By Operation</t>
  </si>
  <si>
    <t>Excluded</t>
  </si>
  <si>
    <t>High performance triple glazed windows w/ insulated vinyl frame, 1/2" air, 1/4" glass at Storefront</t>
  </si>
  <si>
    <t>Exterior Type SF glass storefront system including all aluminum mullions at first to third floors - see sections SF-1 to SF- 64 on drawings A-211 to A-214</t>
  </si>
  <si>
    <t>Electrochromic glazing at Storefront</t>
  </si>
  <si>
    <t>Reduce Data Center energy usage by 15% through strategies involving consolidating IT system redundancies, upgrading Energy Star certified
servers, and migrating to a cloud service.</t>
  </si>
  <si>
    <t>MDB to Chiller -2-1/2"EMT - 3#350MCM, #3</t>
  </si>
  <si>
    <t>2-1/2"EMT</t>
  </si>
  <si>
    <t>#3</t>
  </si>
  <si>
    <t>Disconnect Switch - 250A</t>
  </si>
  <si>
    <t>SUMMARY OF TRADES-SITE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</si>
</sst>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00"/>
    <numFmt numFmtId="168" formatCode="_(* #,##0.000_);_(* \(#,##0.000\);_(* &quot;-&quot;??_);_(@_)"/>
  </numFmts>
  <fonts count="6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70C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sz val="8.5"/>
      <color rgb="FF161616"/>
      <name val="Times New Roman"/>
      <family val="1"/>
    </font>
    <font>
      <sz val="8.5"/>
      <color rgb="FF363636"/>
      <name val="Times New Roman"/>
      <family val="1"/>
    </font>
    <font>
      <sz val="8.5"/>
      <color rgb="FF030303"/>
      <name val="Times New Roman"/>
      <family val="1"/>
    </font>
    <font>
      <sz val="7.5"/>
      <color rgb="FF161616"/>
      <name val="Times New Roman"/>
      <family val="1"/>
    </font>
    <font>
      <sz val="7.5"/>
      <name val="Times New Roman"/>
      <family val="1"/>
    </font>
    <font>
      <b/>
      <sz val="9"/>
      <name val="Times New Roman"/>
      <family val="1"/>
    </font>
    <font>
      <b/>
      <sz val="9"/>
      <color rgb="FF030303"/>
      <name val="Times New Roman"/>
      <family val="1"/>
    </font>
    <font>
      <sz val="8.5"/>
      <name val="Times New Roman"/>
      <family val="1"/>
    </font>
    <font>
      <sz val="7"/>
      <color rgb="FF161616"/>
      <name val="Arial"/>
      <family val="2"/>
    </font>
    <font>
      <b/>
      <sz val="8.5"/>
      <name val="Times New Roman"/>
      <family val="1"/>
    </font>
    <font>
      <b/>
      <sz val="8.5"/>
      <color rgb="FF030303"/>
      <name val="Times New Roman"/>
      <family val="1"/>
    </font>
    <font>
      <sz val="8.5"/>
      <color rgb="FF545454"/>
      <name val="Times New Roman"/>
      <family val="1"/>
    </font>
    <font>
      <sz val="8"/>
      <name val="Times New Roman"/>
      <family val="1"/>
    </font>
    <font>
      <sz val="8"/>
      <color rgb="FF161616"/>
      <name val="Times New Roman"/>
      <family val="1"/>
    </font>
    <font>
      <sz val="9"/>
      <name val="Times New Roman"/>
      <family val="1"/>
    </font>
    <font>
      <b/>
      <sz val="8.5"/>
      <name val="Arial"/>
      <family val="2"/>
    </font>
    <font>
      <sz val="8.5"/>
      <color rgb="FF131313"/>
      <name val="Times New Roman"/>
      <family val="1"/>
    </font>
    <font>
      <sz val="8.5"/>
      <color rgb="FF383838"/>
      <name val="Times New Roman"/>
      <family val="1"/>
    </font>
    <font>
      <sz val="8"/>
      <color rgb="FF131313"/>
      <name val="Times New Roman"/>
      <family val="2"/>
    </font>
    <font>
      <b/>
      <sz val="8"/>
      <name val="Times New Roman"/>
      <family val="1"/>
    </font>
    <font>
      <b/>
      <sz val="8"/>
      <color rgb="FF131313"/>
      <name val="Times New Roman"/>
      <family val="1"/>
    </font>
    <font>
      <sz val="8.5"/>
      <color rgb="FF4B4B4B"/>
      <name val="Times New Roman"/>
      <family val="1"/>
    </font>
    <font>
      <sz val="8.5"/>
      <color rgb="FF2A2A2A"/>
      <name val="Times New Roman"/>
      <family val="1"/>
    </font>
    <font>
      <b/>
      <sz val="9"/>
      <color rgb="FF131313"/>
      <name val="Times New Roman"/>
      <family val="1"/>
    </font>
    <font>
      <sz val="8.5"/>
      <color rgb="FF606060"/>
      <name val="Times New Roman"/>
      <family val="1"/>
    </font>
    <font>
      <sz val="7.5"/>
      <color rgb="FF131313"/>
      <name val="Times New Roman"/>
      <family val="1"/>
    </font>
    <font>
      <i/>
      <sz val="8.5"/>
      <color rgb="FF131313"/>
      <name val="Times New Roman"/>
      <family val="1"/>
    </font>
    <font>
      <sz val="9"/>
      <color rgb="FF131313"/>
      <name val="Times New Roman"/>
      <family val="1"/>
    </font>
    <font>
      <b/>
      <sz val="8.5"/>
      <color rgb="FF131313"/>
      <name val="Arial"/>
      <family val="2"/>
    </font>
    <font>
      <sz val="7"/>
      <color rgb="FF131313"/>
      <name val="Arial"/>
      <family val="2"/>
    </font>
    <font>
      <sz val="8.5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.5"/>
      <name val="Times New Roman"/>
      <family val="2"/>
    </font>
    <font>
      <b/>
      <sz val="11"/>
      <color rgb="FF131313"/>
      <name val="Arial"/>
      <family val="2"/>
    </font>
    <font>
      <sz val="11"/>
      <color rgb="FF161616"/>
      <name val="Arial"/>
      <family val="2"/>
    </font>
    <font>
      <sz val="11"/>
      <color rgb="FF131313"/>
      <name val="Arial"/>
      <family val="2"/>
    </font>
    <font>
      <sz val="11"/>
      <color rgb="FF2A2A2A"/>
      <name val="Arial"/>
      <family val="2"/>
    </font>
    <font>
      <sz val="11"/>
      <color rgb="FF4B4B4B"/>
      <name val="Arial"/>
      <family val="2"/>
    </font>
    <font>
      <sz val="11"/>
      <color rgb="FF383838"/>
      <name val="Arial"/>
      <family val="2"/>
    </font>
    <font>
      <i/>
      <sz val="11"/>
      <color rgb="FF131313"/>
      <name val="Arial"/>
      <family val="2"/>
    </font>
    <font>
      <sz val="11"/>
      <color rgb="FF606060"/>
      <name val="Arial"/>
      <family val="2"/>
    </font>
    <font>
      <b/>
      <sz val="11"/>
      <color rgb="FF030303"/>
      <name val="Arial"/>
      <family val="2"/>
    </font>
    <font>
      <sz val="11"/>
      <color rgb="FF030303"/>
      <name val="Arial"/>
      <family val="2"/>
    </font>
    <font>
      <sz val="11"/>
      <color rgb="FF363636"/>
      <name val="Arial"/>
      <family val="2"/>
    </font>
    <font>
      <sz val="11"/>
      <color rgb="FF545454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A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7" fillId="0" borderId="0"/>
  </cellStyleXfs>
  <cellXfs count="3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4" fontId="2" fillId="0" borderId="0" xfId="2" applyFont="1"/>
    <xf numFmtId="164" fontId="2" fillId="0" borderId="0" xfId="1" applyNumberFormat="1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4" fontId="2" fillId="0" borderId="2" xfId="2" applyFont="1" applyBorder="1"/>
    <xf numFmtId="0" fontId="2" fillId="0" borderId="2" xfId="0" quotePrefix="1" applyFont="1" applyBorder="1" applyAlignment="1">
      <alignment horizontal="right"/>
    </xf>
    <xf numFmtId="0" fontId="2" fillId="0" borderId="2" xfId="0" applyFont="1" applyBorder="1" applyAlignment="1">
      <alignment horizontal="left" indent="1"/>
    </xf>
    <xf numFmtId="0" fontId="5" fillId="0" borderId="0" xfId="0" applyFont="1"/>
    <xf numFmtId="165" fontId="2" fillId="0" borderId="2" xfId="2" quotePrefix="1" applyNumberFormat="1" applyFont="1" applyBorder="1" applyAlignment="1">
      <alignment horizontal="right"/>
    </xf>
    <xf numFmtId="164" fontId="2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43" fontId="2" fillId="0" borderId="2" xfId="1" quotePrefix="1" applyFont="1" applyBorder="1" applyAlignment="1">
      <alignment horizontal="right"/>
    </xf>
    <xf numFmtId="165" fontId="2" fillId="0" borderId="2" xfId="2" applyNumberFormat="1" applyFont="1" applyBorder="1" applyAlignment="1">
      <alignment horizontal="center"/>
    </xf>
    <xf numFmtId="0" fontId="2" fillId="0" borderId="2" xfId="1" quotePrefix="1" applyNumberFormat="1" applyFont="1" applyBorder="1" applyAlignment="1">
      <alignment horizontal="fill"/>
    </xf>
    <xf numFmtId="0" fontId="9" fillId="0" borderId="0" xfId="0" applyFont="1"/>
    <xf numFmtId="14" fontId="5" fillId="0" borderId="0" xfId="0" applyNumberFormat="1" applyFont="1"/>
    <xf numFmtId="0" fontId="2" fillId="0" borderId="3" xfId="0" applyFont="1" applyBorder="1"/>
    <xf numFmtId="164" fontId="2" fillId="2" borderId="7" xfId="1" applyNumberFormat="1" applyFont="1" applyFill="1" applyBorder="1" applyAlignment="1">
      <alignment horizontal="center"/>
    </xf>
    <xf numFmtId="0" fontId="2" fillId="0" borderId="8" xfId="0" applyFont="1" applyBorder="1"/>
    <xf numFmtId="0" fontId="2" fillId="0" borderId="8" xfId="0" quotePrefix="1" applyFont="1" applyBorder="1" applyAlignment="1">
      <alignment horizontal="left" indent="1"/>
    </xf>
    <xf numFmtId="0" fontId="2" fillId="2" borderId="9" xfId="0" applyFont="1" applyFill="1" applyBorder="1"/>
    <xf numFmtId="0" fontId="2" fillId="2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0" xfId="0" applyFont="1" applyAlignment="1">
      <alignment horizontal="left" indent="1"/>
    </xf>
    <xf numFmtId="165" fontId="2" fillId="0" borderId="0" xfId="2" applyNumberFormat="1" applyFont="1" applyBorder="1"/>
    <xf numFmtId="165" fontId="2" fillId="0" borderId="12" xfId="2" applyNumberFormat="1" applyFont="1" applyBorder="1"/>
    <xf numFmtId="0" fontId="2" fillId="0" borderId="12" xfId="0" quotePrefix="1" applyFont="1" applyBorder="1" applyAlignment="1">
      <alignment horizontal="fill"/>
    </xf>
    <xf numFmtId="0" fontId="2" fillId="0" borderId="0" xfId="0" quotePrefix="1" applyFont="1" applyAlignment="1">
      <alignment horizontal="left" indent="1"/>
    </xf>
    <xf numFmtId="166" fontId="2" fillId="0" borderId="0" xfId="0" applyNumberFormat="1" applyFont="1"/>
    <xf numFmtId="0" fontId="2" fillId="0" borderId="13" xfId="0" applyFont="1" applyBorder="1"/>
    <xf numFmtId="165" fontId="2" fillId="0" borderId="14" xfId="2" applyNumberFormat="1" applyFont="1" applyBorder="1"/>
    <xf numFmtId="0" fontId="2" fillId="0" borderId="0" xfId="0" applyFont="1" applyAlignment="1">
      <alignment horizontal="right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right"/>
    </xf>
    <xf numFmtId="0" fontId="2" fillId="2" borderId="2" xfId="0" applyFont="1" applyFill="1" applyBorder="1"/>
    <xf numFmtId="0" fontId="11" fillId="3" borderId="2" xfId="0" applyFont="1" applyFill="1" applyBorder="1"/>
    <xf numFmtId="0" fontId="11" fillId="3" borderId="2" xfId="0" applyFon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/>
    </xf>
    <xf numFmtId="44" fontId="11" fillId="3" borderId="2" xfId="2" applyFont="1" applyFill="1" applyBorder="1"/>
    <xf numFmtId="0" fontId="11" fillId="3" borderId="2" xfId="0" quotePrefix="1" applyFont="1" applyFill="1" applyBorder="1" applyAlignment="1">
      <alignment horizontal="right"/>
    </xf>
    <xf numFmtId="0" fontId="2" fillId="2" borderId="18" xfId="0" applyFont="1" applyFill="1" applyBorder="1"/>
    <xf numFmtId="0" fontId="2" fillId="2" borderId="0" xfId="0" applyFont="1" applyFill="1"/>
    <xf numFmtId="0" fontId="2" fillId="2" borderId="19" xfId="0" applyFont="1" applyFill="1" applyBorder="1"/>
    <xf numFmtId="0" fontId="2" fillId="0" borderId="18" xfId="0" applyFont="1" applyBorder="1"/>
    <xf numFmtId="0" fontId="11" fillId="0" borderId="0" xfId="0" applyFont="1"/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14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8" fillId="2" borderId="0" xfId="0" applyFont="1" applyFill="1"/>
    <xf numFmtId="0" fontId="11" fillId="2" borderId="11" xfId="0" applyFont="1" applyFill="1" applyBorder="1"/>
    <xf numFmtId="0" fontId="12" fillId="2" borderId="0" xfId="0" quotePrefix="1" applyFont="1" applyFill="1" applyAlignment="1">
      <alignment horizontal="left" indent="1"/>
    </xf>
    <xf numFmtId="165" fontId="12" fillId="2" borderId="12" xfId="2" applyNumberFormat="1" applyFont="1" applyFill="1" applyBorder="1"/>
    <xf numFmtId="0" fontId="2" fillId="2" borderId="2" xfId="0" quotePrefix="1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44" fontId="2" fillId="2" borderId="2" xfId="2" applyFont="1" applyFill="1" applyBorder="1"/>
    <xf numFmtId="0" fontId="14" fillId="0" borderId="0" xfId="0" applyFont="1"/>
    <xf numFmtId="166" fontId="14" fillId="0" borderId="0" xfId="0" applyNumberFormat="1" applyFont="1"/>
    <xf numFmtId="0" fontId="15" fillId="2" borderId="0" xfId="0" applyFont="1" applyFill="1"/>
    <xf numFmtId="3" fontId="2" fillId="0" borderId="0" xfId="0" applyNumberFormat="1" applyFont="1"/>
    <xf numFmtId="165" fontId="2" fillId="0" borderId="0" xfId="0" applyNumberFormat="1" applyFont="1"/>
    <xf numFmtId="14" fontId="2" fillId="0" borderId="0" xfId="0" quotePrefix="1" applyNumberFormat="1" applyFont="1" applyAlignment="1">
      <alignment horizontal="left" indent="1"/>
    </xf>
    <xf numFmtId="165" fontId="2" fillId="2" borderId="0" xfId="0" applyNumberFormat="1" applyFont="1" applyFill="1"/>
    <xf numFmtId="164" fontId="2" fillId="0" borderId="2" xfId="1" applyNumberFormat="1" applyFont="1" applyBorder="1"/>
    <xf numFmtId="164" fontId="2" fillId="2" borderId="2" xfId="1" applyNumberFormat="1" applyFont="1" applyFill="1" applyBorder="1"/>
    <xf numFmtId="164" fontId="11" fillId="3" borderId="2" xfId="1" applyNumberFormat="1" applyFont="1" applyFill="1" applyBorder="1"/>
    <xf numFmtId="0" fontId="17" fillId="0" borderId="0" xfId="4" applyAlignment="1">
      <alignment horizontal="left" vertical="top"/>
    </xf>
    <xf numFmtId="0" fontId="17" fillId="0" borderId="20" xfId="4" applyBorder="1" applyAlignment="1">
      <alignment horizontal="left" vertical="center" wrapText="1"/>
    </xf>
    <xf numFmtId="0" fontId="17" fillId="0" borderId="20" xfId="4" applyBorder="1" applyAlignment="1">
      <alignment horizontal="left" vertical="top" wrapText="1"/>
    </xf>
    <xf numFmtId="0" fontId="25" fillId="0" borderId="20" xfId="4" applyFont="1" applyBorder="1" applyAlignment="1">
      <alignment horizontal="left" vertical="top" wrapText="1" indent="1"/>
    </xf>
    <xf numFmtId="0" fontId="25" fillId="0" borderId="20" xfId="4" applyFont="1" applyBorder="1" applyAlignment="1">
      <alignment horizontal="left" vertical="top" wrapText="1"/>
    </xf>
    <xf numFmtId="0" fontId="25" fillId="0" borderId="20" xfId="4" applyFont="1" applyBorder="1" applyAlignment="1">
      <alignment horizontal="left" vertical="center" wrapText="1" indent="1"/>
    </xf>
    <xf numFmtId="0" fontId="25" fillId="0" borderId="20" xfId="4" applyFont="1" applyBorder="1" applyAlignment="1">
      <alignment horizontal="left" vertical="center" wrapText="1"/>
    </xf>
    <xf numFmtId="0" fontId="23" fillId="0" borderId="20" xfId="4" applyFont="1" applyBorder="1" applyAlignment="1">
      <alignment horizontal="center" vertical="top" wrapText="1"/>
    </xf>
    <xf numFmtId="0" fontId="17" fillId="0" borderId="20" xfId="4" applyBorder="1" applyAlignment="1">
      <alignment horizontal="left" vertical="top" wrapText="1" indent="3"/>
    </xf>
    <xf numFmtId="167" fontId="36" fillId="0" borderId="20" xfId="4" applyNumberFormat="1" applyFont="1" applyBorder="1" applyAlignment="1">
      <alignment horizontal="center" vertical="center" shrinkToFit="1"/>
    </xf>
    <xf numFmtId="0" fontId="17" fillId="0" borderId="20" xfId="4" applyBorder="1" applyAlignment="1">
      <alignment horizontal="left" vertical="top" wrapText="1" indent="1"/>
    </xf>
    <xf numFmtId="0" fontId="37" fillId="4" borderId="0" xfId="4" applyFont="1" applyFill="1" applyAlignment="1">
      <alignment horizontal="center" vertical="top" wrapText="1"/>
    </xf>
    <xf numFmtId="0" fontId="23" fillId="4" borderId="0" xfId="4" applyFont="1" applyFill="1" applyAlignment="1">
      <alignment horizontal="center" vertical="top" wrapText="1"/>
    </xf>
    <xf numFmtId="0" fontId="27" fillId="4" borderId="0" xfId="4" applyFont="1" applyFill="1" applyAlignment="1">
      <alignment horizontal="center" vertical="top" wrapText="1"/>
    </xf>
    <xf numFmtId="43" fontId="2" fillId="0" borderId="0" xfId="1" applyFont="1"/>
    <xf numFmtId="43" fontId="2" fillId="0" borderId="2" xfId="1" applyFont="1" applyBorder="1"/>
    <xf numFmtId="43" fontId="2" fillId="2" borderId="2" xfId="1" applyFont="1" applyFill="1" applyBorder="1"/>
    <xf numFmtId="43" fontId="11" fillId="3" borderId="2" xfId="1" applyFont="1" applyFill="1" applyBorder="1"/>
    <xf numFmtId="0" fontId="48" fillId="0" borderId="20" xfId="4" applyFont="1" applyBorder="1" applyAlignment="1">
      <alignment horizontal="center" vertical="center" wrapText="1"/>
    </xf>
    <xf numFmtId="0" fontId="48" fillId="0" borderId="20" xfId="4" applyFont="1" applyBorder="1" applyAlignment="1">
      <alignment horizontal="center" vertical="top" wrapText="1"/>
    </xf>
    <xf numFmtId="0" fontId="49" fillId="0" borderId="20" xfId="4" applyFont="1" applyBorder="1" applyAlignment="1">
      <alignment horizontal="center" vertical="center" wrapText="1"/>
    </xf>
    <xf numFmtId="0" fontId="49" fillId="0" borderId="20" xfId="4" applyFont="1" applyBorder="1" applyAlignment="1">
      <alignment horizontal="left" vertical="top" wrapText="1" indent="1"/>
    </xf>
    <xf numFmtId="0" fontId="50" fillId="0" borderId="20" xfId="4" applyFont="1" applyBorder="1" applyAlignment="1">
      <alignment horizontal="left" vertical="center" wrapText="1" indent="1"/>
    </xf>
    <xf numFmtId="0" fontId="48" fillId="0" borderId="20" xfId="4" applyFont="1" applyBorder="1" applyAlignment="1">
      <alignment horizontal="left" vertical="center" wrapText="1" indent="1"/>
    </xf>
    <xf numFmtId="0" fontId="48" fillId="0" borderId="20" xfId="4" applyFont="1" applyBorder="1" applyAlignment="1">
      <alignment horizontal="left" vertical="top" wrapText="1" indent="1"/>
    </xf>
    <xf numFmtId="0" fontId="51" fillId="0" borderId="20" xfId="4" applyFont="1" applyBorder="1" applyAlignment="1">
      <alignment horizontal="left" vertical="top" wrapText="1" indent="1"/>
    </xf>
    <xf numFmtId="0" fontId="49" fillId="0" borderId="20" xfId="4" applyFont="1" applyBorder="1" applyAlignment="1">
      <alignment horizontal="left" vertical="center" wrapText="1" indent="1"/>
    </xf>
    <xf numFmtId="0" fontId="18" fillId="0" borderId="20" xfId="4" applyFont="1" applyBorder="1" applyAlignment="1">
      <alignment horizontal="left" vertical="center" wrapText="1"/>
    </xf>
    <xf numFmtId="9" fontId="2" fillId="0" borderId="2" xfId="3" applyFont="1" applyBorder="1"/>
    <xf numFmtId="44" fontId="17" fillId="0" borderId="20" xfId="2" applyFont="1" applyBorder="1" applyAlignment="1">
      <alignment horizontal="left" vertical="center" wrapText="1"/>
    </xf>
    <xf numFmtId="0" fontId="1" fillId="0" borderId="0" xfId="4" applyFont="1" applyAlignment="1">
      <alignment horizontal="left" vertical="top"/>
    </xf>
    <xf numFmtId="0" fontId="1" fillId="0" borderId="20" xfId="4" applyFont="1" applyBorder="1" applyAlignment="1">
      <alignment horizontal="left" vertical="top" wrapText="1" indent="3"/>
    </xf>
    <xf numFmtId="0" fontId="12" fillId="0" borderId="20" xfId="4" applyFont="1" applyBorder="1" applyAlignment="1">
      <alignment horizontal="center" vertical="top" wrapText="1"/>
    </xf>
    <xf numFmtId="0" fontId="11" fillId="0" borderId="20" xfId="4" applyFont="1" applyBorder="1" applyAlignment="1">
      <alignment horizontal="center" vertical="center" wrapText="1"/>
    </xf>
    <xf numFmtId="0" fontId="11" fillId="0" borderId="20" xfId="4" applyFont="1" applyBorder="1" applyAlignment="1">
      <alignment horizontal="left" vertical="center" wrapText="1"/>
    </xf>
    <xf numFmtId="0" fontId="11" fillId="0" borderId="20" xfId="4" applyFont="1" applyBorder="1" applyAlignment="1">
      <alignment horizontal="left" vertical="top" wrapText="1"/>
    </xf>
    <xf numFmtId="0" fontId="1" fillId="0" borderId="20" xfId="4" applyFont="1" applyBorder="1" applyAlignment="1">
      <alignment horizontal="left" vertical="top" wrapText="1"/>
    </xf>
    <xf numFmtId="0" fontId="1" fillId="0" borderId="20" xfId="4" applyFont="1" applyBorder="1" applyAlignment="1">
      <alignment horizontal="left" vertical="top" wrapText="1" indent="1"/>
    </xf>
    <xf numFmtId="0" fontId="11" fillId="0" borderId="20" xfId="4" applyFont="1" applyBorder="1" applyAlignment="1">
      <alignment horizontal="left" vertical="top" wrapText="1" indent="1"/>
    </xf>
    <xf numFmtId="0" fontId="1" fillId="0" borderId="20" xfId="4" applyFont="1" applyBorder="1" applyAlignment="1">
      <alignment horizontal="left" vertical="center" wrapText="1"/>
    </xf>
    <xf numFmtId="0" fontId="11" fillId="0" borderId="20" xfId="4" applyFont="1" applyBorder="1" applyAlignment="1">
      <alignment horizontal="left" vertical="center" wrapText="1" indent="1"/>
    </xf>
    <xf numFmtId="167" fontId="54" fillId="0" borderId="20" xfId="4" applyNumberFormat="1" applyFont="1" applyBorder="1" applyAlignment="1">
      <alignment horizontal="center" vertical="center" shrinkToFit="1"/>
    </xf>
    <xf numFmtId="0" fontId="53" fillId="0" borderId="20" xfId="4" applyFont="1" applyBorder="1" applyAlignment="1">
      <alignment horizontal="left" vertical="center" wrapText="1"/>
    </xf>
    <xf numFmtId="0" fontId="64" fillId="0" borderId="0" xfId="0" applyFont="1"/>
    <xf numFmtId="0" fontId="12" fillId="0" borderId="0" xfId="4" applyFont="1" applyAlignment="1">
      <alignment horizontal="center" vertical="top" wrapText="1"/>
    </xf>
    <xf numFmtId="0" fontId="2" fillId="0" borderId="2" xfId="0" applyFont="1" applyBorder="1" applyAlignment="1">
      <alignment horizontal="left" wrapText="1" indent="1"/>
    </xf>
    <xf numFmtId="0" fontId="2" fillId="0" borderId="2" xfId="0" quotePrefix="1" applyFont="1" applyBorder="1" applyAlignment="1">
      <alignment horizontal="left" vertical="center" wrapText="1" indent="1"/>
    </xf>
    <xf numFmtId="3" fontId="2" fillId="0" borderId="0" xfId="0" applyNumberFormat="1" applyFont="1" applyAlignment="1">
      <alignment vertical="center"/>
    </xf>
    <xf numFmtId="0" fontId="11" fillId="0" borderId="2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 wrapText="1" indent="2"/>
    </xf>
    <xf numFmtId="165" fontId="2" fillId="0" borderId="2" xfId="2" quotePrefix="1" applyNumberFormat="1" applyFont="1" applyBorder="1" applyAlignment="1">
      <alignment horizontal="right" vertical="center"/>
    </xf>
    <xf numFmtId="0" fontId="54" fillId="0" borderId="20" xfId="4" applyFont="1" applyBorder="1" applyAlignment="1">
      <alignment horizontal="left" vertical="top" wrapText="1"/>
    </xf>
    <xf numFmtId="44" fontId="2" fillId="0" borderId="2" xfId="2" applyFont="1" applyFill="1" applyBorder="1"/>
    <xf numFmtId="164" fontId="2" fillId="0" borderId="0" xfId="1" applyNumberFormat="1" applyFont="1" applyAlignment="1">
      <alignment horizontal="center" vertical="center"/>
    </xf>
    <xf numFmtId="44" fontId="2" fillId="0" borderId="2" xfId="2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165" fontId="2" fillId="0" borderId="2" xfId="2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/>
    </xf>
    <xf numFmtId="165" fontId="2" fillId="0" borderId="2" xfId="2" applyNumberFormat="1" applyFont="1" applyFill="1" applyBorder="1" applyAlignment="1">
      <alignment horizontal="center"/>
    </xf>
    <xf numFmtId="164" fontId="2" fillId="0" borderId="2" xfId="1" applyNumberFormat="1" applyFont="1" applyFill="1" applyBorder="1"/>
    <xf numFmtId="0" fontId="11" fillId="0" borderId="2" xfId="0" applyFont="1" applyBorder="1" applyAlignment="1">
      <alignment horizontal="left" wrapText="1" indent="1"/>
    </xf>
    <xf numFmtId="0" fontId="11" fillId="0" borderId="2" xfId="0" applyFont="1" applyBorder="1" applyAlignment="1">
      <alignment horizontal="left" indent="1"/>
    </xf>
    <xf numFmtId="0" fontId="11" fillId="0" borderId="2" xfId="0" applyFont="1" applyBorder="1" applyAlignment="1">
      <alignment horizontal="left" vertical="center" wrapText="1" indent="1"/>
    </xf>
    <xf numFmtId="0" fontId="11" fillId="0" borderId="2" xfId="0" quotePrefix="1" applyFont="1" applyBorder="1" applyAlignment="1">
      <alignment horizontal="left" vertical="center" wrapText="1" indent="1"/>
    </xf>
    <xf numFmtId="0" fontId="11" fillId="0" borderId="2" xfId="0" quotePrefix="1" applyFont="1" applyBorder="1" applyAlignment="1">
      <alignment horizontal="left" indent="1"/>
    </xf>
    <xf numFmtId="0" fontId="11" fillId="0" borderId="2" xfId="0" quotePrefix="1" applyFont="1" applyBorder="1" applyAlignment="1">
      <alignment horizontal="left" wrapText="1" indent="1"/>
    </xf>
    <xf numFmtId="0" fontId="11" fillId="0" borderId="28" xfId="0" quotePrefix="1" applyFont="1" applyBorder="1" applyAlignment="1">
      <alignment horizontal="left" vertical="center" wrapText="1" indent="2"/>
    </xf>
    <xf numFmtId="0" fontId="1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165" fontId="2" fillId="0" borderId="2" xfId="2" applyNumberFormat="1" applyFont="1" applyBorder="1" applyAlignment="1">
      <alignment horizontal="right" vertical="center"/>
    </xf>
    <xf numFmtId="44" fontId="2" fillId="0" borderId="2" xfId="2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0" fontId="11" fillId="0" borderId="28" xfId="0" quotePrefix="1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37" fontId="2" fillId="0" borderId="2" xfId="1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1" fillId="0" borderId="2" xfId="2" applyFont="1" applyBorder="1"/>
    <xf numFmtId="164" fontId="11" fillId="0" borderId="2" xfId="1" applyNumberFormat="1" applyFont="1" applyBorder="1"/>
    <xf numFmtId="44" fontId="66" fillId="0" borderId="2" xfId="2" applyFont="1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horizontal="left" wrapText="1" indent="2"/>
    </xf>
    <xf numFmtId="0" fontId="2" fillId="0" borderId="0" xfId="0" applyFont="1" applyAlignment="1">
      <alignment horizontal="left"/>
    </xf>
    <xf numFmtId="43" fontId="2" fillId="0" borderId="2" xfId="1" applyFont="1" applyFill="1" applyBorder="1"/>
    <xf numFmtId="44" fontId="2" fillId="0" borderId="0" xfId="0" applyNumberFormat="1" applyFont="1"/>
    <xf numFmtId="165" fontId="2" fillId="0" borderId="2" xfId="2" quotePrefix="1" applyNumberFormat="1" applyFont="1" applyFill="1" applyBorder="1" applyAlignment="1">
      <alignment horizontal="right" vertical="center"/>
    </xf>
    <xf numFmtId="44" fontId="11" fillId="0" borderId="2" xfId="2" applyFont="1" applyFill="1" applyBorder="1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2" fillId="0" borderId="0" xfId="0" quotePrefix="1" applyFont="1" applyAlignment="1">
      <alignment horizontal="fill"/>
    </xf>
    <xf numFmtId="43" fontId="2" fillId="0" borderId="0" xfId="1" applyFont="1" applyAlignment="1">
      <alignment horizontal="center"/>
    </xf>
    <xf numFmtId="168" fontId="2" fillId="0" borderId="0" xfId="1" applyNumberFormat="1" applyFont="1"/>
    <xf numFmtId="168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left"/>
    </xf>
    <xf numFmtId="0" fontId="2" fillId="0" borderId="28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3" fontId="65" fillId="0" borderId="0" xfId="0" applyNumberFormat="1" applyFont="1"/>
    <xf numFmtId="43" fontId="2" fillId="0" borderId="2" xfId="1" applyFont="1" applyBorder="1" applyAlignment="1">
      <alignment horizontal="center"/>
    </xf>
    <xf numFmtId="0" fontId="65" fillId="0" borderId="0" xfId="0" applyFont="1"/>
    <xf numFmtId="0" fontId="2" fillId="0" borderId="2" xfId="0" quotePrefix="1" applyFont="1" applyBorder="1" applyAlignment="1">
      <alignment horizontal="left" vertical="center"/>
    </xf>
    <xf numFmtId="3" fontId="65" fillId="0" borderId="0" xfId="0" quotePrefix="1" applyNumberFormat="1" applyFont="1" applyAlignment="1">
      <alignment horizontal="left"/>
    </xf>
    <xf numFmtId="0" fontId="2" fillId="0" borderId="2" xfId="0" quotePrefix="1" applyFont="1" applyBorder="1" applyAlignment="1">
      <alignment horizontal="left" vertical="center" indent="1"/>
    </xf>
    <xf numFmtId="0" fontId="66" fillId="0" borderId="2" xfId="0" applyFont="1" applyBorder="1" applyAlignment="1">
      <alignment horizontal="left" vertical="center" wrapText="1" indent="1"/>
    </xf>
    <xf numFmtId="3" fontId="66" fillId="0" borderId="0" xfId="0" applyNumberFormat="1" applyFont="1" applyAlignment="1">
      <alignment vertical="center"/>
    </xf>
    <xf numFmtId="0" fontId="66" fillId="0" borderId="28" xfId="0" applyFont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3" fontId="3" fillId="0" borderId="0" xfId="0" applyNumberFormat="1" applyFont="1"/>
    <xf numFmtId="0" fontId="65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quotePrefix="1" applyFont="1" applyBorder="1" applyAlignment="1">
      <alignment horizontal="left" vertical="center" wrapText="1"/>
    </xf>
    <xf numFmtId="4" fontId="66" fillId="0" borderId="2" xfId="0" applyNumberFormat="1" applyFont="1" applyBorder="1" applyAlignment="1">
      <alignment vertical="center"/>
    </xf>
    <xf numFmtId="0" fontId="2" fillId="0" borderId="2" xfId="0" quotePrefix="1" applyFont="1" applyBorder="1" applyAlignment="1">
      <alignment vertical="center" wrapText="1"/>
    </xf>
    <xf numFmtId="0" fontId="66" fillId="0" borderId="2" xfId="0" quotePrefix="1" applyFont="1" applyBorder="1" applyAlignment="1">
      <alignment horizontal="left" vertical="center" wrapText="1" indent="1"/>
    </xf>
    <xf numFmtId="3" fontId="66" fillId="0" borderId="2" xfId="0" applyNumberFormat="1" applyFont="1" applyBorder="1" applyAlignment="1">
      <alignment horizontal="right" vertical="center"/>
    </xf>
    <xf numFmtId="0" fontId="2" fillId="0" borderId="2" xfId="0" quotePrefix="1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2"/>
    </xf>
    <xf numFmtId="0" fontId="9" fillId="0" borderId="0" xfId="0" applyFont="1" applyAlignment="1">
      <alignment vertical="center" wrapText="1"/>
    </xf>
    <xf numFmtId="3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0" fontId="2" fillId="0" borderId="2" xfId="0" applyNumberFormat="1" applyFont="1" applyBorder="1" applyAlignment="1">
      <alignment horizontal="center" vertical="center"/>
    </xf>
    <xf numFmtId="40" fontId="2" fillId="0" borderId="0" xfId="0" applyNumberFormat="1" applyFont="1" applyAlignment="1">
      <alignment horizontal="center" vertical="center"/>
    </xf>
    <xf numFmtId="40" fontId="2" fillId="0" borderId="2" xfId="0" applyNumberFormat="1" applyFont="1" applyBorder="1" applyAlignment="1">
      <alignment vertical="center"/>
    </xf>
    <xf numFmtId="40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0" fontId="2" fillId="0" borderId="2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left" vertical="center" wrapText="1" indent="1"/>
    </xf>
    <xf numFmtId="3" fontId="2" fillId="0" borderId="0" xfId="0" applyNumberFormat="1" applyFont="1" applyAlignment="1">
      <alignment horizontal="left" vertical="center" indent="1"/>
    </xf>
    <xf numFmtId="0" fontId="9" fillId="0" borderId="0" xfId="0" quotePrefix="1" applyFont="1" applyAlignment="1">
      <alignment vertical="center" wrapText="1"/>
    </xf>
    <xf numFmtId="40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vertical="center" wrapText="1"/>
    </xf>
    <xf numFmtId="44" fontId="65" fillId="0" borderId="0" xfId="0" applyNumberFormat="1" applyFont="1" applyAlignment="1">
      <alignment vertical="center"/>
    </xf>
    <xf numFmtId="3" fontId="65" fillId="0" borderId="0" xfId="0" applyNumberFormat="1" applyFont="1" applyAlignment="1">
      <alignment vertical="center"/>
    </xf>
    <xf numFmtId="4" fontId="65" fillId="0" borderId="0" xfId="0" applyNumberFormat="1" applyFont="1" applyAlignment="1">
      <alignment vertical="center"/>
    </xf>
    <xf numFmtId="0" fontId="67" fillId="0" borderId="0" xfId="0" applyFont="1" applyAlignment="1">
      <alignment horizontal="center" vertical="center"/>
    </xf>
    <xf numFmtId="3" fontId="2" fillId="0" borderId="0" xfId="0" applyNumberFormat="1" applyFont="1" applyAlignment="1">
      <alignment vertical="center" wrapText="1"/>
    </xf>
    <xf numFmtId="0" fontId="2" fillId="0" borderId="0" xfId="0" quotePrefix="1" applyFont="1" applyAlignment="1">
      <alignment horizontal="left" vertical="center" wrapText="1" indent="1"/>
    </xf>
    <xf numFmtId="3" fontId="2" fillId="0" borderId="0" xfId="0" quotePrefix="1" applyNumberFormat="1" applyFont="1" applyAlignment="1">
      <alignment horizontal="left" vertical="center" wrapText="1" indent="1"/>
    </xf>
    <xf numFmtId="0" fontId="9" fillId="0" borderId="0" xfId="0" quotePrefix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4"/>
    </xf>
    <xf numFmtId="3" fontId="2" fillId="0" borderId="0" xfId="0" applyNumberFormat="1" applyFont="1" applyAlignment="1">
      <alignment horizontal="left" vertical="center" wrapText="1" indent="4"/>
    </xf>
    <xf numFmtId="3" fontId="2" fillId="0" borderId="0" xfId="0" applyNumberFormat="1" applyFont="1" applyAlignment="1">
      <alignment horizontal="left" vertical="center" wrapText="1" indent="2"/>
    </xf>
    <xf numFmtId="3" fontId="2" fillId="0" borderId="0" xfId="0" quotePrefix="1" applyNumberFormat="1" applyFont="1" applyAlignment="1">
      <alignment horizontal="left" vertical="center" wrapText="1" indent="4"/>
    </xf>
    <xf numFmtId="0" fontId="2" fillId="0" borderId="0" xfId="0" quotePrefix="1" applyFont="1" applyAlignment="1">
      <alignment horizontal="left" vertical="center" wrapText="1" indent="4"/>
    </xf>
    <xf numFmtId="0" fontId="11" fillId="0" borderId="0" xfId="0" applyFont="1" applyAlignment="1">
      <alignment horizontal="left" vertical="center" wrapText="1" indent="4"/>
    </xf>
    <xf numFmtId="3" fontId="11" fillId="0" borderId="2" xfId="0" applyNumberFormat="1" applyFont="1" applyBorder="1" applyAlignment="1">
      <alignment vertical="center"/>
    </xf>
    <xf numFmtId="3" fontId="11" fillId="0" borderId="0" xfId="0" applyNumberFormat="1" applyFont="1" applyAlignment="1">
      <alignment horizontal="center" vertical="center"/>
    </xf>
    <xf numFmtId="40" fontId="11" fillId="0" borderId="2" xfId="0" applyNumberFormat="1" applyFont="1" applyBorder="1" applyAlignment="1">
      <alignment horizontal="right" vertical="center"/>
    </xf>
    <xf numFmtId="40" fontId="11" fillId="0" borderId="2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164" fontId="2" fillId="0" borderId="0" xfId="0" applyNumberFormat="1" applyFont="1" applyAlignment="1">
      <alignment horizontal="left" vertical="center" indent="2"/>
    </xf>
    <xf numFmtId="0" fontId="66" fillId="0" borderId="2" xfId="0" applyFont="1" applyBorder="1"/>
    <xf numFmtId="4" fontId="11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 indent="1"/>
    </xf>
    <xf numFmtId="3" fontId="11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11" fillId="0" borderId="2" xfId="0" quotePrefix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indent="1"/>
    </xf>
    <xf numFmtId="4" fontId="2" fillId="0" borderId="0" xfId="0" applyNumberFormat="1" applyFont="1" applyAlignment="1">
      <alignment vertical="center"/>
    </xf>
    <xf numFmtId="0" fontId="2" fillId="0" borderId="29" xfId="0" applyFont="1" applyBorder="1"/>
    <xf numFmtId="37" fontId="2" fillId="0" borderId="0" xfId="0" applyNumberFormat="1" applyFont="1" applyAlignment="1">
      <alignment horizontal="right" vertical="center"/>
    </xf>
    <xf numFmtId="37" fontId="2" fillId="0" borderId="2" xfId="0" applyNumberFormat="1" applyFont="1" applyBorder="1" applyAlignment="1">
      <alignment horizontal="right" vertical="center"/>
    </xf>
    <xf numFmtId="0" fontId="2" fillId="0" borderId="0" xfId="0" quotePrefix="1" applyFont="1" applyAlignment="1">
      <alignment horizontal="left" vertical="center" wrapText="1"/>
    </xf>
    <xf numFmtId="165" fontId="2" fillId="0" borderId="2" xfId="2" applyNumberFormat="1" applyFont="1" applyBorder="1"/>
    <xf numFmtId="0" fontId="2" fillId="2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right"/>
    </xf>
    <xf numFmtId="165" fontId="2" fillId="0" borderId="32" xfId="2" applyNumberFormat="1" applyFont="1" applyBorder="1"/>
    <xf numFmtId="0" fontId="2" fillId="0" borderId="32" xfId="0" quotePrefix="1" applyFont="1" applyBorder="1" applyAlignment="1">
      <alignment horizontal="fill"/>
    </xf>
    <xf numFmtId="165" fontId="12" fillId="2" borderId="32" xfId="2" applyNumberFormat="1" applyFont="1" applyFill="1" applyBorder="1"/>
    <xf numFmtId="165" fontId="2" fillId="0" borderId="33" xfId="2" applyNumberFormat="1" applyFont="1" applyBorder="1"/>
    <xf numFmtId="0" fontId="2" fillId="0" borderId="32" xfId="0" applyFont="1" applyBorder="1"/>
    <xf numFmtId="165" fontId="2" fillId="0" borderId="32" xfId="0" applyNumberFormat="1" applyFont="1" applyBorder="1"/>
    <xf numFmtId="165" fontId="9" fillId="0" borderId="32" xfId="0" applyNumberFormat="1" applyFont="1" applyBorder="1"/>
    <xf numFmtId="3" fontId="2" fillId="0" borderId="32" xfId="0" applyNumberFormat="1" applyFont="1" applyBorder="1"/>
    <xf numFmtId="165" fontId="2" fillId="2" borderId="32" xfId="0" applyNumberFormat="1" applyFont="1" applyFill="1" applyBorder="1"/>
    <xf numFmtId="165" fontId="2" fillId="0" borderId="34" xfId="0" applyNumberFormat="1" applyFont="1" applyBorder="1"/>
    <xf numFmtId="0" fontId="2" fillId="0" borderId="31" xfId="0" applyFont="1" applyBorder="1"/>
    <xf numFmtId="164" fontId="2" fillId="0" borderId="32" xfId="1" applyNumberFormat="1" applyFont="1" applyBorder="1"/>
    <xf numFmtId="165" fontId="9" fillId="0" borderId="32" xfId="2" applyNumberFormat="1" applyFont="1" applyBorder="1"/>
    <xf numFmtId="0" fontId="2" fillId="0" borderId="35" xfId="0" applyFont="1" applyBorder="1"/>
    <xf numFmtId="0" fontId="2" fillId="0" borderId="36" xfId="0" applyFont="1" applyBorder="1"/>
    <xf numFmtId="0" fontId="9" fillId="0" borderId="0" xfId="0" applyFont="1" applyAlignment="1">
      <alignment wrapText="1"/>
    </xf>
    <xf numFmtId="14" fontId="2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left" vertical="center" wrapText="1"/>
    </xf>
    <xf numFmtId="0" fontId="54" fillId="0" borderId="20" xfId="4" applyFont="1" applyBorder="1" applyAlignment="1">
      <alignment horizontal="left" vertical="center" wrapText="1"/>
    </xf>
    <xf numFmtId="2" fontId="11" fillId="0" borderId="2" xfId="2" applyNumberFormat="1" applyFont="1" applyBorder="1"/>
    <xf numFmtId="44" fontId="2" fillId="0" borderId="2" xfId="2" applyFont="1" applyBorder="1" applyAlignment="1">
      <alignment horizontal="center"/>
    </xf>
    <xf numFmtId="0" fontId="55" fillId="0" borderId="20" xfId="4" applyFont="1" applyBorder="1" applyAlignment="1">
      <alignment horizontal="center" vertical="center" wrapText="1"/>
    </xf>
    <xf numFmtId="0" fontId="54" fillId="0" borderId="20" xfId="4" applyFont="1" applyBorder="1" applyAlignment="1">
      <alignment horizontal="center" vertical="center" wrapText="1"/>
    </xf>
    <xf numFmtId="0" fontId="54" fillId="0" borderId="20" xfId="4" applyFont="1" applyBorder="1" applyAlignment="1">
      <alignment horizontal="center" vertical="top" wrapText="1"/>
    </xf>
    <xf numFmtId="0" fontId="53" fillId="0" borderId="20" xfId="4" applyFont="1" applyBorder="1" applyAlignment="1">
      <alignment horizontal="left" vertical="top" wrapText="1" indent="1"/>
    </xf>
    <xf numFmtId="0" fontId="53" fillId="0" borderId="20" xfId="4" applyFont="1" applyBorder="1" applyAlignment="1">
      <alignment horizontal="left" vertical="center" wrapText="1" indent="1"/>
    </xf>
    <xf numFmtId="43" fontId="2" fillId="0" borderId="0" xfId="0" applyNumberFormat="1" applyFont="1"/>
    <xf numFmtId="1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12" fillId="0" borderId="0" xfId="4" applyNumberFormat="1" applyFont="1" applyAlignment="1">
      <alignment horizontal="right" vertical="center" wrapText="1"/>
    </xf>
    <xf numFmtId="165" fontId="12" fillId="4" borderId="0" xfId="4" applyNumberFormat="1" applyFont="1" applyFill="1" applyAlignment="1">
      <alignment horizontal="right" vertical="center" wrapText="1"/>
    </xf>
    <xf numFmtId="165" fontId="1" fillId="0" borderId="20" xfId="2" applyNumberFormat="1" applyFont="1" applyBorder="1" applyAlignment="1">
      <alignment horizontal="right" vertical="center" wrapText="1"/>
    </xf>
    <xf numFmtId="165" fontId="17" fillId="0" borderId="0" xfId="4" applyNumberFormat="1" applyAlignment="1">
      <alignment horizontal="right" vertical="center"/>
    </xf>
    <xf numFmtId="0" fontId="54" fillId="0" borderId="37" xfId="4" applyFont="1" applyBorder="1" applyAlignment="1">
      <alignment horizontal="left" vertical="top" wrapText="1"/>
    </xf>
    <xf numFmtId="0" fontId="11" fillId="0" borderId="37" xfId="4" applyFont="1" applyBorder="1" applyAlignment="1">
      <alignment horizontal="left" vertical="center" wrapText="1" indent="1"/>
    </xf>
    <xf numFmtId="0" fontId="11" fillId="0" borderId="37" xfId="4" applyFont="1" applyBorder="1" applyAlignment="1">
      <alignment horizontal="left" vertical="top" wrapText="1" indent="1"/>
    </xf>
    <xf numFmtId="165" fontId="1" fillId="0" borderId="37" xfId="2" applyNumberFormat="1" applyFont="1" applyBorder="1" applyAlignment="1">
      <alignment horizontal="right" vertical="center" wrapText="1"/>
    </xf>
    <xf numFmtId="164" fontId="2" fillId="0" borderId="28" xfId="1" applyNumberFormat="1" applyFont="1" applyBorder="1" applyAlignment="1">
      <alignment horizontal="center"/>
    </xf>
    <xf numFmtId="164" fontId="2" fillId="0" borderId="0" xfId="1" applyNumberFormat="1" applyFont="1" applyBorder="1"/>
    <xf numFmtId="0" fontId="2" fillId="0" borderId="2" xfId="0" quotePrefix="1" applyFont="1" applyBorder="1" applyAlignment="1">
      <alignment horizontal="left" inden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44" fontId="2" fillId="2" borderId="5" xfId="2" applyFont="1" applyFill="1" applyBorder="1" applyAlignment="1">
      <alignment horizontal="left" vertical="top"/>
    </xf>
    <xf numFmtId="44" fontId="2" fillId="2" borderId="7" xfId="2" applyFont="1" applyFill="1" applyBorder="1" applyAlignment="1">
      <alignment horizontal="left" vertical="top"/>
    </xf>
    <xf numFmtId="0" fontId="12" fillId="4" borderId="23" xfId="4" applyFont="1" applyFill="1" applyBorder="1" applyAlignment="1">
      <alignment horizontal="center" vertical="top" wrapText="1"/>
    </xf>
    <xf numFmtId="0" fontId="12" fillId="4" borderId="22" xfId="4" applyFont="1" applyFill="1" applyBorder="1" applyAlignment="1">
      <alignment horizontal="center" vertical="top" wrapText="1"/>
    </xf>
    <xf numFmtId="0" fontId="12" fillId="4" borderId="38" xfId="4" applyFont="1" applyFill="1" applyBorder="1" applyAlignment="1">
      <alignment horizontal="center" vertical="top" wrapText="1"/>
    </xf>
    <xf numFmtId="0" fontId="12" fillId="4" borderId="39" xfId="4" applyFont="1" applyFill="1" applyBorder="1" applyAlignment="1">
      <alignment horizontal="center" vertical="top" wrapText="1"/>
    </xf>
    <xf numFmtId="0" fontId="12" fillId="4" borderId="21" xfId="4" applyFont="1" applyFill="1" applyBorder="1" applyAlignment="1">
      <alignment horizontal="center" vertical="top" wrapText="1"/>
    </xf>
    <xf numFmtId="0" fontId="17" fillId="0" borderId="0" xfId="4" applyAlignment="1">
      <alignment horizontal="left" vertical="top" wrapText="1" indent="1"/>
    </xf>
    <xf numFmtId="0" fontId="12" fillId="0" borderId="0" xfId="4" applyFont="1" applyAlignment="1">
      <alignment horizontal="center" vertical="top" wrapText="1"/>
    </xf>
    <xf numFmtId="0" fontId="11" fillId="0" borderId="25" xfId="4" applyFont="1" applyBorder="1" applyAlignment="1">
      <alignment horizontal="left" wrapText="1" indent="1"/>
    </xf>
    <xf numFmtId="0" fontId="11" fillId="0" borderId="24" xfId="4" applyFont="1" applyBorder="1" applyAlignment="1">
      <alignment horizontal="left" wrapText="1" indent="1"/>
    </xf>
    <xf numFmtId="0" fontId="12" fillId="0" borderId="25" xfId="4" applyFont="1" applyBorder="1" applyAlignment="1">
      <alignment horizontal="left" wrapText="1"/>
    </xf>
    <xf numFmtId="0" fontId="12" fillId="0" borderId="24" xfId="4" applyFont="1" applyBorder="1" applyAlignment="1">
      <alignment horizontal="left" wrapText="1"/>
    </xf>
    <xf numFmtId="0" fontId="12" fillId="0" borderId="23" xfId="4" applyFont="1" applyBorder="1" applyAlignment="1">
      <alignment horizontal="center" vertical="top" wrapText="1"/>
    </xf>
    <xf numFmtId="0" fontId="12" fillId="0" borderId="21" xfId="4" applyFont="1" applyBorder="1" applyAlignment="1">
      <alignment horizontal="center" vertical="top" wrapText="1"/>
    </xf>
    <xf numFmtId="0" fontId="12" fillId="0" borderId="25" xfId="4" applyFont="1" applyBorder="1" applyAlignment="1">
      <alignment horizontal="left" wrapText="1" indent="1"/>
    </xf>
    <xf numFmtId="0" fontId="12" fillId="0" borderId="24" xfId="4" applyFont="1" applyBorder="1" applyAlignment="1">
      <alignment horizontal="left" wrapText="1" indent="1"/>
    </xf>
    <xf numFmtId="165" fontId="52" fillId="0" borderId="25" xfId="4" applyNumberFormat="1" applyFont="1" applyBorder="1" applyAlignment="1">
      <alignment horizontal="right" vertical="center" wrapText="1"/>
    </xf>
    <xf numFmtId="165" fontId="12" fillId="0" borderId="24" xfId="4" applyNumberFormat="1" applyFont="1" applyBorder="1" applyAlignment="1">
      <alignment horizontal="right" vertical="center" wrapText="1"/>
    </xf>
    <xf numFmtId="0" fontId="23" fillId="4" borderId="23" xfId="4" applyFont="1" applyFill="1" applyBorder="1" applyAlignment="1">
      <alignment horizontal="center" vertical="top" wrapText="1"/>
    </xf>
    <xf numFmtId="0" fontId="23" fillId="4" borderId="22" xfId="4" applyFont="1" applyFill="1" applyBorder="1" applyAlignment="1">
      <alignment horizontal="center" vertical="top" wrapText="1"/>
    </xf>
    <xf numFmtId="0" fontId="23" fillId="4" borderId="21" xfId="4" applyFont="1" applyFill="1" applyBorder="1" applyAlignment="1">
      <alignment horizontal="center" vertical="top" wrapText="1"/>
    </xf>
    <xf numFmtId="0" fontId="37" fillId="4" borderId="23" xfId="4" applyFont="1" applyFill="1" applyBorder="1" applyAlignment="1">
      <alignment horizontal="center" vertical="top" wrapText="1"/>
    </xf>
    <xf numFmtId="0" fontId="37" fillId="4" borderId="22" xfId="4" applyFont="1" applyFill="1" applyBorder="1" applyAlignment="1">
      <alignment horizontal="center" vertical="top" wrapText="1"/>
    </xf>
    <xf numFmtId="0" fontId="37" fillId="4" borderId="21" xfId="4" applyFont="1" applyFill="1" applyBorder="1" applyAlignment="1">
      <alignment horizontal="center" vertical="top" wrapText="1"/>
    </xf>
    <xf numFmtId="0" fontId="27" fillId="4" borderId="23" xfId="4" applyFont="1" applyFill="1" applyBorder="1" applyAlignment="1">
      <alignment horizontal="center" vertical="top" wrapText="1"/>
    </xf>
    <xf numFmtId="0" fontId="27" fillId="4" borderId="22" xfId="4" applyFont="1" applyFill="1" applyBorder="1" applyAlignment="1">
      <alignment horizontal="center" vertical="top" wrapText="1"/>
    </xf>
    <xf numFmtId="0" fontId="27" fillId="4" borderId="21" xfId="4" applyFont="1" applyFill="1" applyBorder="1" applyAlignment="1">
      <alignment horizontal="center" vertical="top" wrapText="1"/>
    </xf>
    <xf numFmtId="0" fontId="33" fillId="0" borderId="0" xfId="4" applyFont="1" applyAlignment="1">
      <alignment horizontal="left" vertical="top" wrapText="1" indent="1"/>
    </xf>
    <xf numFmtId="0" fontId="32" fillId="0" borderId="25" xfId="4" applyFont="1" applyBorder="1" applyAlignment="1">
      <alignment horizontal="left" wrapText="1" indent="1"/>
    </xf>
    <xf numFmtId="0" fontId="32" fillId="0" borderId="24" xfId="4" applyFont="1" applyBorder="1" applyAlignment="1">
      <alignment horizontal="left" wrapText="1" indent="1"/>
    </xf>
    <xf numFmtId="0" fontId="23" fillId="0" borderId="25" xfId="4" applyFont="1" applyBorder="1" applyAlignment="1">
      <alignment horizontal="left" wrapText="1"/>
    </xf>
    <xf numFmtId="0" fontId="23" fillId="0" borderId="24" xfId="4" applyFont="1" applyBorder="1" applyAlignment="1">
      <alignment horizontal="left" wrapText="1"/>
    </xf>
    <xf numFmtId="0" fontId="23" fillId="0" borderId="23" xfId="4" applyFont="1" applyBorder="1" applyAlignment="1">
      <alignment horizontal="center" vertical="top" wrapText="1"/>
    </xf>
    <xf numFmtId="0" fontId="23" fillId="0" borderId="21" xfId="4" applyFont="1" applyBorder="1" applyAlignment="1">
      <alignment horizontal="center" vertical="top" wrapText="1"/>
    </xf>
    <xf numFmtId="0" fontId="23" fillId="0" borderId="25" xfId="4" applyFont="1" applyBorder="1" applyAlignment="1">
      <alignment horizontal="left" wrapText="1" indent="1"/>
    </xf>
    <xf numFmtId="0" fontId="23" fillId="0" borderId="24" xfId="4" applyFont="1" applyBorder="1" applyAlignment="1">
      <alignment horizontal="left" wrapText="1" indent="1"/>
    </xf>
    <xf numFmtId="0" fontId="41" fillId="0" borderId="25" xfId="4" applyFont="1" applyBorder="1" applyAlignment="1">
      <alignment horizontal="left" wrapText="1" indent="1"/>
    </xf>
    <xf numFmtId="44" fontId="2" fillId="2" borderId="5" xfId="2" applyFont="1" applyFill="1" applyBorder="1" applyAlignment="1">
      <alignment horizontal="center" vertical="top"/>
    </xf>
    <xf numFmtId="44" fontId="2" fillId="2" borderId="7" xfId="2" applyFont="1" applyFill="1" applyBorder="1" applyAlignment="1">
      <alignment horizontal="center" vertical="top"/>
    </xf>
    <xf numFmtId="0" fontId="2" fillId="2" borderId="26" xfId="0" applyFont="1" applyFill="1" applyBorder="1" applyAlignment="1">
      <alignment horizontal="center" vertical="top"/>
    </xf>
    <xf numFmtId="0" fontId="2" fillId="2" borderId="27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43" fontId="2" fillId="2" borderId="5" xfId="1" applyFont="1" applyFill="1" applyBorder="1" applyAlignment="1">
      <alignment horizontal="left" vertical="top"/>
    </xf>
    <xf numFmtId="43" fontId="2" fillId="2" borderId="7" xfId="1" applyFont="1" applyFill="1" applyBorder="1" applyAlignment="1">
      <alignment horizontal="left" vertical="top"/>
    </xf>
  </cellXfs>
  <cellStyles count="5">
    <cellStyle name="Comma" xfId="1" builtinId="3"/>
    <cellStyle name="Currency" xfId="2" builtinId="4"/>
    <cellStyle name="Normal" xfId="0" builtinId="0"/>
    <cellStyle name="Normal 2" xfId="4" xr:uid="{20772ACA-6A73-4DF0-83C9-DC26E5A01A88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0</xdr:row>
      <xdr:rowOff>95250</xdr:rowOff>
    </xdr:from>
    <xdr:to>
      <xdr:col>6</xdr:col>
      <xdr:colOff>552450</xdr:colOff>
      <xdr:row>5</xdr:row>
      <xdr:rowOff>54154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1" y="95250"/>
          <a:ext cx="2971799" cy="8637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66676</xdr:rowOff>
    </xdr:from>
    <xdr:to>
      <xdr:col>4</xdr:col>
      <xdr:colOff>55881</xdr:colOff>
      <xdr:row>4</xdr:row>
      <xdr:rowOff>93118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66676"/>
          <a:ext cx="2546350" cy="715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38100</xdr:rowOff>
    </xdr:from>
    <xdr:to>
      <xdr:col>1</xdr:col>
      <xdr:colOff>1352250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F5AE7-3A9F-463C-A529-7920794B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0"/>
          <a:ext cx="1540210" cy="44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28575</xdr:rowOff>
    </xdr:from>
    <xdr:to>
      <xdr:col>1</xdr:col>
      <xdr:colOff>1521160</xdr:colOff>
      <xdr:row>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666CD-1874-4AFB-9A70-EFF1F3AF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8575"/>
          <a:ext cx="1540210" cy="428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38100</xdr:rowOff>
    </xdr:from>
    <xdr:to>
      <xdr:col>1</xdr:col>
      <xdr:colOff>1356060</xdr:colOff>
      <xdr:row>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6F05E-D050-4EC9-92D3-575C094F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38100"/>
          <a:ext cx="1550370" cy="434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28575</xdr:rowOff>
    </xdr:from>
    <xdr:to>
      <xdr:col>1</xdr:col>
      <xdr:colOff>1467820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E9CDE-32F7-4E5B-AD81-384B139B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26670"/>
          <a:ext cx="1557355" cy="4076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2</xdr:col>
      <xdr:colOff>1083645</xdr:colOff>
      <xdr:row>2</xdr:row>
      <xdr:rowOff>135255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82AA67-07F2-4B05-B447-C6DBC748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557355" cy="4565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38100</xdr:rowOff>
    </xdr:from>
    <xdr:to>
      <xdr:col>1</xdr:col>
      <xdr:colOff>1297005</xdr:colOff>
      <xdr:row>2</xdr:row>
      <xdr:rowOff>139065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88255-53FD-441C-A16E-E53407B1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0"/>
          <a:ext cx="1559895" cy="4514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28575</xdr:rowOff>
    </xdr:from>
    <xdr:to>
      <xdr:col>1</xdr:col>
      <xdr:colOff>1521160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33B1A-C0A2-4749-87C4-1666957C9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8575"/>
          <a:ext cx="1549735" cy="417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armingdale%20Applied%20Social%20Sciences-%20100%25%20CD%20-%20Base%20Updated.xlsx?3E2064F7" TargetMode="External"/><Relationship Id="rId1" Type="http://schemas.openxmlformats.org/officeDocument/2006/relationships/externalLinkPath" Target="file:///\\3E2064F7\Farmingdale%20Applied%20Social%20Sciences-%20100%25%20CD%20-%20Base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BOE"/>
      <sheetName val="MASTER SUM"/>
      <sheetName val="SUM"/>
      <sheetName val="EST"/>
      <sheetName val="SUM SITE"/>
      <sheetName val="EST SITE"/>
      <sheetName val="ECM-SUM"/>
      <sheetName val="ECM-EST"/>
    </sheetNames>
    <sheetDataSet>
      <sheetData sheetId="0"/>
      <sheetData sheetId="1">
        <row r="76">
          <cell r="F76">
            <v>0.08</v>
          </cell>
        </row>
        <row r="77">
          <cell r="F77">
            <v>0</v>
          </cell>
        </row>
        <row r="79">
          <cell r="F79">
            <v>8.4375000000000006E-2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4"/>
  <sheetViews>
    <sheetView zoomScaleNormal="100" workbookViewId="0">
      <selection activeCell="A25" sqref="A25"/>
    </sheetView>
  </sheetViews>
  <sheetFormatPr defaultColWidth="9.1328125" defaultRowHeight="13.5" x14ac:dyDescent="0.35"/>
  <cols>
    <col min="1" max="1" width="10.1328125" style="2" bestFit="1" customWidth="1"/>
    <col min="2" max="16384" width="9.1328125" style="2"/>
  </cols>
  <sheetData>
    <row r="4" spans="1:9" x14ac:dyDescent="0.35">
      <c r="B4" s="1"/>
    </row>
    <row r="14" spans="1:9" ht="17.649999999999999" x14ac:dyDescent="0.5">
      <c r="A14" s="297" t="s">
        <v>65</v>
      </c>
      <c r="B14" s="297"/>
      <c r="C14" s="297"/>
      <c r="D14" s="297"/>
      <c r="E14" s="297"/>
      <c r="F14" s="297"/>
      <c r="G14" s="297"/>
      <c r="H14" s="297"/>
      <c r="I14" s="297"/>
    </row>
    <row r="15" spans="1:9" ht="15" x14ac:dyDescent="0.4">
      <c r="A15" s="300" t="s">
        <v>66</v>
      </c>
      <c r="B15" s="300"/>
      <c r="C15" s="300"/>
      <c r="D15" s="300"/>
      <c r="E15" s="300"/>
      <c r="F15" s="300"/>
      <c r="G15" s="300"/>
      <c r="H15" s="300"/>
      <c r="I15" s="300"/>
    </row>
    <row r="17" spans="1:9" ht="20.25" x14ac:dyDescent="0.55000000000000004">
      <c r="A17" s="293" t="s">
        <v>67</v>
      </c>
      <c r="B17" s="293"/>
      <c r="C17" s="293"/>
      <c r="D17" s="293"/>
      <c r="E17" s="293"/>
      <c r="F17" s="293"/>
      <c r="G17" s="293"/>
      <c r="H17" s="293"/>
      <c r="I17" s="293"/>
    </row>
    <row r="18" spans="1:9" ht="15" x14ac:dyDescent="0.4">
      <c r="A18" s="294" t="s">
        <v>86</v>
      </c>
      <c r="B18" s="294"/>
      <c r="C18" s="294"/>
      <c r="D18" s="294"/>
      <c r="E18" s="294"/>
      <c r="F18" s="294"/>
      <c r="G18" s="294"/>
      <c r="H18" s="294"/>
      <c r="I18" s="294"/>
    </row>
    <row r="20" spans="1:9" ht="20.25" x14ac:dyDescent="0.55000000000000004">
      <c r="A20" s="298" t="s">
        <v>85</v>
      </c>
      <c r="B20" s="299"/>
      <c r="C20" s="299"/>
      <c r="D20" s="299"/>
      <c r="E20" s="299"/>
      <c r="F20" s="299"/>
      <c r="G20" s="299"/>
      <c r="H20" s="299"/>
      <c r="I20" s="299"/>
    </row>
    <row r="21" spans="1:9" ht="24.75" x14ac:dyDescent="0.65">
      <c r="A21" s="295" t="s">
        <v>87</v>
      </c>
      <c r="B21" s="295"/>
      <c r="C21" s="295"/>
      <c r="D21" s="295"/>
      <c r="E21" s="295"/>
      <c r="F21" s="295"/>
      <c r="G21" s="295"/>
      <c r="H21" s="295"/>
      <c r="I21" s="295"/>
    </row>
    <row r="24" spans="1:9" x14ac:dyDescent="0.35">
      <c r="A24" s="296">
        <v>44263</v>
      </c>
      <c r="B24" s="296"/>
      <c r="C24" s="296"/>
      <c r="D24" s="296"/>
      <c r="E24" s="296"/>
      <c r="F24" s="296"/>
      <c r="G24" s="296"/>
      <c r="H24" s="296"/>
      <c r="I24" s="296"/>
    </row>
  </sheetData>
  <mergeCells count="7">
    <mergeCell ref="A17:I17"/>
    <mergeCell ref="A18:I18"/>
    <mergeCell ref="A21:I21"/>
    <mergeCell ref="A24:I24"/>
    <mergeCell ref="A14:I14"/>
    <mergeCell ref="A20:I20"/>
    <mergeCell ref="A15:I15"/>
  </mergeCells>
  <pageMargins left="0.7" right="0.7" top="0.75" bottom="0.75" header="0.3" footer="0.3"/>
  <pageSetup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I51"/>
  <sheetViews>
    <sheetView topLeftCell="A26" zoomScaleNormal="100" workbookViewId="0">
      <selection activeCell="A25" sqref="A25"/>
    </sheetView>
  </sheetViews>
  <sheetFormatPr defaultColWidth="9.1328125" defaultRowHeight="13.5" x14ac:dyDescent="0.35"/>
  <cols>
    <col min="1" max="1" width="9.1328125" style="2"/>
    <col min="2" max="2" width="10.1328125" style="2" bestFit="1" customWidth="1"/>
    <col min="3" max="4" width="9.1328125" style="2"/>
    <col min="5" max="5" width="15.46484375" style="2" customWidth="1"/>
    <col min="6" max="6" width="9.86328125" style="2" bestFit="1" customWidth="1"/>
    <col min="7" max="7" width="9.1328125" style="2"/>
    <col min="8" max="8" width="12.46484375" style="2" customWidth="1"/>
    <col min="9" max="9" width="13.33203125" style="2" customWidth="1"/>
    <col min="10" max="10" width="1.53125" style="2" customWidth="1"/>
    <col min="11" max="16384" width="9.1328125" style="2"/>
  </cols>
  <sheetData>
    <row r="6" spans="1:9" x14ac:dyDescent="0.35">
      <c r="B6" s="2" t="str">
        <f>TITLE!A14</f>
        <v>COLLEGE OF TECHNOLOGY AT FARMINGDALE</v>
      </c>
      <c r="I6" s="4">
        <f>TITLE!A24</f>
        <v>44263</v>
      </c>
    </row>
    <row r="7" spans="1:9" x14ac:dyDescent="0.35">
      <c r="B7" s="2" t="str">
        <f>TITLE!A17</f>
        <v>NET ZERO CARBON STUDY</v>
      </c>
    </row>
    <row r="9" spans="1:9" x14ac:dyDescent="0.35">
      <c r="A9" s="48" t="s">
        <v>0</v>
      </c>
      <c r="B9" s="49"/>
      <c r="C9" s="49"/>
      <c r="D9" s="49"/>
      <c r="E9" s="49"/>
      <c r="F9" s="49"/>
      <c r="G9" s="49"/>
      <c r="H9" s="49"/>
      <c r="I9" s="50"/>
    </row>
    <row r="10" spans="1:9" x14ac:dyDescent="0.35">
      <c r="A10" s="51"/>
      <c r="B10" s="52"/>
      <c r="I10" s="53"/>
    </row>
    <row r="11" spans="1:9" x14ac:dyDescent="0.35">
      <c r="A11" s="54"/>
      <c r="I11" s="53"/>
    </row>
    <row r="12" spans="1:9" x14ac:dyDescent="0.35">
      <c r="A12" s="54">
        <v>1</v>
      </c>
      <c r="B12" s="2" t="s">
        <v>68</v>
      </c>
      <c r="I12" s="53"/>
    </row>
    <row r="13" spans="1:9" x14ac:dyDescent="0.35">
      <c r="A13" s="54"/>
      <c r="B13" s="71" t="s">
        <v>69</v>
      </c>
      <c r="I13" s="53"/>
    </row>
    <row r="14" spans="1:9" x14ac:dyDescent="0.35">
      <c r="A14" s="54"/>
      <c r="B14" s="55"/>
      <c r="I14" s="53"/>
    </row>
    <row r="15" spans="1:9" x14ac:dyDescent="0.35">
      <c r="A15" s="54"/>
      <c r="I15" s="53"/>
    </row>
    <row r="16" spans="1:9" x14ac:dyDescent="0.35">
      <c r="A16" s="57">
        <v>2</v>
      </c>
      <c r="B16" s="49" t="s">
        <v>36</v>
      </c>
      <c r="C16" s="49"/>
      <c r="D16" s="49"/>
      <c r="E16" s="49"/>
      <c r="F16" s="49"/>
      <c r="G16" s="49"/>
      <c r="H16" s="58"/>
      <c r="I16" s="50"/>
    </row>
    <row r="17" spans="1:9" x14ac:dyDescent="0.35">
      <c r="A17" s="54"/>
      <c r="I17" s="53"/>
    </row>
    <row r="18" spans="1:9" x14ac:dyDescent="0.35">
      <c r="A18" s="54" t="s">
        <v>17</v>
      </c>
      <c r="B18" s="56" t="s">
        <v>70</v>
      </c>
      <c r="I18" s="53"/>
    </row>
    <row r="19" spans="1:9" x14ac:dyDescent="0.35">
      <c r="A19" s="54"/>
      <c r="B19" s="56"/>
      <c r="I19" s="53"/>
    </row>
    <row r="20" spans="1:9" x14ac:dyDescent="0.35">
      <c r="A20" s="54" t="s">
        <v>18</v>
      </c>
      <c r="B20" s="56" t="s">
        <v>71</v>
      </c>
      <c r="I20" s="53"/>
    </row>
    <row r="21" spans="1:9" x14ac:dyDescent="0.35">
      <c r="A21" s="54"/>
      <c r="B21" s="56"/>
      <c r="I21" s="53"/>
    </row>
    <row r="22" spans="1:9" x14ac:dyDescent="0.35">
      <c r="A22" s="54" t="s">
        <v>19</v>
      </c>
      <c r="B22" s="56" t="s">
        <v>72</v>
      </c>
      <c r="I22" s="53"/>
    </row>
    <row r="23" spans="1:9" ht="14.25" x14ac:dyDescent="0.45">
      <c r="A23" s="54"/>
      <c r="B23"/>
      <c r="I23" s="53"/>
    </row>
    <row r="24" spans="1:9" x14ac:dyDescent="0.35">
      <c r="A24" s="57">
        <v>3</v>
      </c>
      <c r="B24" s="49" t="s">
        <v>1</v>
      </c>
      <c r="C24" s="49"/>
      <c r="D24" s="49"/>
      <c r="E24" s="49"/>
      <c r="F24" s="49"/>
      <c r="G24" s="49"/>
      <c r="H24" s="49"/>
      <c r="I24" s="50"/>
    </row>
    <row r="25" spans="1:9" x14ac:dyDescent="0.35">
      <c r="A25" s="54"/>
      <c r="I25" s="53"/>
    </row>
    <row r="26" spans="1:9" x14ac:dyDescent="0.35">
      <c r="A26" s="54" t="s">
        <v>17</v>
      </c>
      <c r="B26" s="30" t="s">
        <v>2</v>
      </c>
      <c r="I26" s="53"/>
    </row>
    <row r="27" spans="1:9" x14ac:dyDescent="0.35">
      <c r="A27" s="54" t="s">
        <v>18</v>
      </c>
      <c r="B27" s="30" t="s">
        <v>3</v>
      </c>
      <c r="I27" s="53"/>
    </row>
    <row r="28" spans="1:9" x14ac:dyDescent="0.35">
      <c r="A28" s="54" t="s">
        <v>19</v>
      </c>
      <c r="B28" s="30" t="s">
        <v>12</v>
      </c>
      <c r="I28" s="53"/>
    </row>
    <row r="29" spans="1:9" x14ac:dyDescent="0.35">
      <c r="A29" s="54" t="s">
        <v>20</v>
      </c>
      <c r="B29" s="30" t="s">
        <v>13</v>
      </c>
      <c r="I29" s="53"/>
    </row>
    <row r="30" spans="1:9" x14ac:dyDescent="0.35">
      <c r="A30" s="54" t="s">
        <v>21</v>
      </c>
      <c r="B30" s="30" t="s">
        <v>14</v>
      </c>
      <c r="I30" s="53"/>
    </row>
    <row r="31" spans="1:9" x14ac:dyDescent="0.35">
      <c r="A31" s="54" t="s">
        <v>22</v>
      </c>
      <c r="B31" s="30" t="s">
        <v>15</v>
      </c>
      <c r="I31" s="53"/>
    </row>
    <row r="32" spans="1:9" x14ac:dyDescent="0.35">
      <c r="A32" s="54" t="s">
        <v>23</v>
      </c>
      <c r="B32" s="30" t="s">
        <v>16</v>
      </c>
      <c r="I32" s="53"/>
    </row>
    <row r="33" spans="1:9" x14ac:dyDescent="0.35">
      <c r="A33" s="54" t="s">
        <v>24</v>
      </c>
      <c r="B33" s="30" t="s">
        <v>84</v>
      </c>
      <c r="I33" s="53"/>
    </row>
    <row r="34" spans="1:9" x14ac:dyDescent="0.35">
      <c r="A34" s="54"/>
      <c r="B34" s="30"/>
      <c r="I34" s="53"/>
    </row>
    <row r="35" spans="1:9" x14ac:dyDescent="0.35">
      <c r="A35" s="57">
        <v>4</v>
      </c>
      <c r="B35" s="49" t="s">
        <v>8</v>
      </c>
      <c r="C35" s="49"/>
      <c r="D35" s="49"/>
      <c r="E35" s="49"/>
      <c r="F35" s="49"/>
      <c r="G35" s="49"/>
      <c r="H35" s="49"/>
      <c r="I35" s="50"/>
    </row>
    <row r="36" spans="1:9" x14ac:dyDescent="0.35">
      <c r="A36" s="54"/>
      <c r="E36" s="38"/>
      <c r="I36" s="53"/>
    </row>
    <row r="37" spans="1:9" x14ac:dyDescent="0.35">
      <c r="A37" s="54"/>
      <c r="B37" s="2" t="s">
        <v>9</v>
      </c>
      <c r="F37" s="269">
        <v>44531</v>
      </c>
      <c r="I37" s="53"/>
    </row>
    <row r="38" spans="1:9" x14ac:dyDescent="0.35">
      <c r="A38" s="54"/>
      <c r="B38" s="2" t="s">
        <v>10</v>
      </c>
      <c r="F38" s="269">
        <v>44986</v>
      </c>
      <c r="I38" s="53"/>
    </row>
    <row r="39" spans="1:9" x14ac:dyDescent="0.35">
      <c r="A39" s="54"/>
      <c r="B39" s="2" t="s">
        <v>11</v>
      </c>
      <c r="F39" s="269">
        <v>45444</v>
      </c>
      <c r="I39" s="53"/>
    </row>
    <row r="40" spans="1:9" x14ac:dyDescent="0.35">
      <c r="A40" s="54"/>
      <c r="I40" s="53"/>
    </row>
    <row r="41" spans="1:9" x14ac:dyDescent="0.35">
      <c r="A41" s="57">
        <v>5</v>
      </c>
      <c r="B41" s="49" t="s">
        <v>25</v>
      </c>
      <c r="C41" s="49"/>
      <c r="D41" s="49"/>
      <c r="E41" s="49"/>
      <c r="F41" s="49"/>
      <c r="G41" s="49"/>
      <c r="H41" s="49"/>
      <c r="I41" s="50"/>
    </row>
    <row r="42" spans="1:9" x14ac:dyDescent="0.35">
      <c r="A42" s="54"/>
      <c r="I42" s="53"/>
    </row>
    <row r="43" spans="1:9" x14ac:dyDescent="0.35">
      <c r="A43" s="54"/>
      <c r="B43" s="2" t="s">
        <v>26</v>
      </c>
      <c r="I43" s="53"/>
    </row>
    <row r="44" spans="1:9" x14ac:dyDescent="0.35">
      <c r="A44" s="54"/>
      <c r="B44" s="2" t="s">
        <v>27</v>
      </c>
      <c r="F44" s="35">
        <v>0.1</v>
      </c>
      <c r="I44" s="53"/>
    </row>
    <row r="45" spans="1:9" x14ac:dyDescent="0.35">
      <c r="A45" s="54"/>
      <c r="B45" s="2" t="s">
        <v>61</v>
      </c>
      <c r="F45" s="35">
        <v>0.08</v>
      </c>
      <c r="I45" s="53"/>
    </row>
    <row r="46" spans="1:9" x14ac:dyDescent="0.35">
      <c r="A46" s="54"/>
      <c r="B46" s="2" t="s">
        <v>28</v>
      </c>
      <c r="F46" s="35">
        <v>0.1</v>
      </c>
      <c r="I46" s="53"/>
    </row>
    <row r="47" spans="1:9" x14ac:dyDescent="0.35">
      <c r="A47" s="54"/>
      <c r="B47" s="2" t="s">
        <v>80</v>
      </c>
      <c r="F47" s="35">
        <v>0.05</v>
      </c>
      <c r="I47" s="53"/>
    </row>
    <row r="48" spans="1:9" x14ac:dyDescent="0.35">
      <c r="A48" s="54"/>
      <c r="B48" s="2" t="s">
        <v>29</v>
      </c>
      <c r="F48" s="35">
        <v>8.4375000000000006E-2</v>
      </c>
      <c r="I48" s="53"/>
    </row>
    <row r="49" spans="1:9" x14ac:dyDescent="0.35">
      <c r="A49" s="54"/>
      <c r="B49" s="2" t="s">
        <v>73</v>
      </c>
      <c r="I49" s="53"/>
    </row>
    <row r="50" spans="1:9" x14ac:dyDescent="0.35">
      <c r="A50" s="51"/>
      <c r="I50" s="53"/>
    </row>
    <row r="51" spans="1:9" x14ac:dyDescent="0.35">
      <c r="A51" s="51"/>
      <c r="I51" s="53"/>
    </row>
  </sheetData>
  <pageMargins left="0.7" right="0.7" top="0.75" bottom="0.75" header="0.3" footer="0.3"/>
  <pageSetup scale="90" orientation="portrait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166B-FF97-40AD-A5E2-24376CD4C2A7}">
  <sheetPr transitionEvaluation="1" transitionEntry="1"/>
  <dimension ref="A4:P56"/>
  <sheetViews>
    <sheetView view="pageBreakPreview" zoomScale="60" zoomScaleNormal="100" workbookViewId="0">
      <selection activeCell="A25" sqref="A25"/>
    </sheetView>
  </sheetViews>
  <sheetFormatPr defaultColWidth="9.1328125" defaultRowHeight="13.5" x14ac:dyDescent="0.35"/>
  <cols>
    <col min="1" max="1" width="5.86328125" style="2" customWidth="1"/>
    <col min="2" max="2" width="47" style="2" customWidth="1"/>
    <col min="3" max="3" width="7.796875" style="2" bestFit="1" customWidth="1"/>
    <col min="4" max="6" width="18.19921875" style="2" bestFit="1" customWidth="1"/>
    <col min="7" max="7" width="1.86328125" style="2" customWidth="1"/>
    <col min="8" max="8" width="4.53125" style="2" customWidth="1"/>
    <col min="9" max="9" width="18.19921875" style="2" bestFit="1" customWidth="1"/>
    <col min="10" max="10" width="9.1328125" style="2"/>
    <col min="11" max="11" width="13.53125" style="2" bestFit="1" customWidth="1"/>
    <col min="12" max="13" width="9.1328125" style="2"/>
    <col min="14" max="14" width="13.19921875" style="2" bestFit="1" customWidth="1"/>
    <col min="15" max="15" width="17.46484375" style="2" bestFit="1" customWidth="1"/>
    <col min="16" max="16" width="13.19921875" style="2" bestFit="1" customWidth="1"/>
    <col min="17" max="16384" width="9.1328125" style="2"/>
  </cols>
  <sheetData>
    <row r="4" spans="1:16" x14ac:dyDescent="0.35">
      <c r="B4" s="2" t="str">
        <f>TITLE!A14</f>
        <v>COLLEGE OF TECHNOLOGY AT FARMINGDALE</v>
      </c>
      <c r="C4" s="14"/>
      <c r="D4" s="14"/>
      <c r="E4" s="14"/>
      <c r="F4" s="22"/>
      <c r="I4" s="22">
        <f>TITLE!A24</f>
        <v>44263</v>
      </c>
    </row>
    <row r="5" spans="1:16" x14ac:dyDescent="0.35">
      <c r="B5" s="2" t="str">
        <f>TITLE!A17</f>
        <v>NET ZERO CARBON STUDY</v>
      </c>
    </row>
    <row r="6" spans="1:16" x14ac:dyDescent="0.35">
      <c r="B6" s="2" t="str">
        <f>TITLE!A21</f>
        <v>Concept Estimate</v>
      </c>
    </row>
    <row r="8" spans="1:16" ht="15" customHeight="1" x14ac:dyDescent="0.35">
      <c r="A8" s="301" t="s">
        <v>30</v>
      </c>
      <c r="B8" s="301"/>
      <c r="C8" s="301"/>
      <c r="D8" s="301"/>
      <c r="E8" s="301"/>
      <c r="F8" s="301"/>
    </row>
    <row r="10" spans="1:16" ht="13.9" thickBot="1" x14ac:dyDescent="0.4">
      <c r="A10" s="27"/>
      <c r="B10" s="5" t="s">
        <v>4</v>
      </c>
      <c r="C10" s="5"/>
      <c r="D10" s="251" t="str">
        <f>EST!E10</f>
        <v>Option-1</v>
      </c>
      <c r="E10" s="251" t="str">
        <f>EST!G10</f>
        <v>Option-2</v>
      </c>
      <c r="F10" s="251" t="str">
        <f>EST!I10</f>
        <v>Option-3</v>
      </c>
      <c r="I10" s="251" t="s">
        <v>778</v>
      </c>
    </row>
    <row r="11" spans="1:16" x14ac:dyDescent="0.35">
      <c r="A11" s="39"/>
      <c r="B11" s="40"/>
      <c r="C11" s="40"/>
      <c r="D11" s="263"/>
      <c r="E11" s="263"/>
      <c r="F11" s="252"/>
      <c r="I11" s="252"/>
    </row>
    <row r="12" spans="1:16" x14ac:dyDescent="0.35">
      <c r="A12" s="29">
        <f t="shared" ref="A12:A48" si="0">ROW()-11</f>
        <v>1</v>
      </c>
      <c r="B12" s="30" t="str">
        <f>EST!B13</f>
        <v>01-00-00 General Requirements</v>
      </c>
      <c r="D12" s="253">
        <f>EST!F17</f>
        <v>2599528.9047710625</v>
      </c>
      <c r="E12" s="253">
        <f>EST!H17</f>
        <v>2395183.5545852478</v>
      </c>
      <c r="F12" s="253">
        <f>EST!J17</f>
        <v>2291411.5709334794</v>
      </c>
      <c r="I12" s="253">
        <v>2573215.5768617974</v>
      </c>
      <c r="N12" s="70">
        <f t="shared" ref="N12:N13" si="1">D12-$I12</f>
        <v>26313.327909265179</v>
      </c>
      <c r="O12" s="70">
        <f t="shared" ref="O12:O34" si="2">E12-$I12</f>
        <v>-178032.0222765496</v>
      </c>
      <c r="P12" s="70">
        <f t="shared" ref="P12:P34" si="3">F12-$I12</f>
        <v>-281804.00592831802</v>
      </c>
    </row>
    <row r="13" spans="1:16" x14ac:dyDescent="0.35">
      <c r="A13" s="29">
        <f t="shared" si="0"/>
        <v>2</v>
      </c>
      <c r="B13" s="30" t="str">
        <f>EST!B19</f>
        <v>02-00-00 Existing Conditions</v>
      </c>
      <c r="D13" s="253">
        <f>EST!F23</f>
        <v>0</v>
      </c>
      <c r="E13" s="253">
        <f>EST!H23</f>
        <v>0</v>
      </c>
      <c r="F13" s="253">
        <f>EST!J23</f>
        <v>0</v>
      </c>
      <c r="I13" s="253">
        <v>0</v>
      </c>
      <c r="N13" s="70">
        <f t="shared" si="1"/>
        <v>0</v>
      </c>
      <c r="O13" s="70">
        <f t="shared" si="2"/>
        <v>0</v>
      </c>
      <c r="P13" s="70">
        <f t="shared" si="3"/>
        <v>0</v>
      </c>
    </row>
    <row r="14" spans="1:16" x14ac:dyDescent="0.35">
      <c r="A14" s="29">
        <f t="shared" si="0"/>
        <v>3</v>
      </c>
      <c r="B14" s="30" t="str">
        <f>EST!B25</f>
        <v>03-00-00 Concrete</v>
      </c>
      <c r="D14" s="253">
        <f>EST!F48</f>
        <v>2463438.7400000002</v>
      </c>
      <c r="E14" s="253">
        <f>EST!H48</f>
        <v>2394333.1374074076</v>
      </c>
      <c r="F14" s="253">
        <f>EST!J48</f>
        <v>2394333.1374074076</v>
      </c>
      <c r="I14" s="253">
        <v>2463244.8260980737</v>
      </c>
      <c r="N14" s="70">
        <f>D14-$I14</f>
        <v>193.91390192648396</v>
      </c>
      <c r="O14" s="70">
        <f t="shared" si="2"/>
        <v>-68911.688690666109</v>
      </c>
      <c r="P14" s="70">
        <f t="shared" si="3"/>
        <v>-68911.688690666109</v>
      </c>
    </row>
    <row r="15" spans="1:16" x14ac:dyDescent="0.35">
      <c r="A15" s="29">
        <f t="shared" si="0"/>
        <v>4</v>
      </c>
      <c r="B15" s="30" t="str">
        <f>EST!B50</f>
        <v>04-00-00 Masonry</v>
      </c>
      <c r="D15" s="253">
        <f>EST!F54</f>
        <v>826463.25999999989</v>
      </c>
      <c r="E15" s="253">
        <f>EST!H54</f>
        <v>805240.85999999987</v>
      </c>
      <c r="F15" s="253">
        <f>EST!J54</f>
        <v>805240.85999999987</v>
      </c>
      <c r="I15" s="253">
        <v>826644.93955999997</v>
      </c>
      <c r="N15" s="70">
        <f t="shared" ref="N15:N34" si="4">D15-$I15</f>
        <v>-181.67956000007689</v>
      </c>
      <c r="O15" s="70">
        <f t="shared" si="2"/>
        <v>-21404.0795600001</v>
      </c>
      <c r="P15" s="70">
        <f t="shared" si="3"/>
        <v>-21404.0795600001</v>
      </c>
    </row>
    <row r="16" spans="1:16" x14ac:dyDescent="0.35">
      <c r="A16" s="29">
        <f t="shared" si="0"/>
        <v>5</v>
      </c>
      <c r="B16" s="30" t="str">
        <f>EST!B56</f>
        <v>05-00-00 Metals</v>
      </c>
      <c r="D16" s="253">
        <f>EST!F91</f>
        <v>4147196</v>
      </c>
      <c r="E16" s="253">
        <f>EST!H91</f>
        <v>3988939.96</v>
      </c>
      <c r="F16" s="253">
        <f>EST!J91</f>
        <v>3957546.52</v>
      </c>
      <c r="I16" s="253">
        <v>4122195.5847999994</v>
      </c>
      <c r="N16" s="70">
        <f t="shared" si="4"/>
        <v>25000.415200000629</v>
      </c>
      <c r="O16" s="70">
        <f t="shared" si="2"/>
        <v>-133255.62479999941</v>
      </c>
      <c r="P16" s="70">
        <f t="shared" si="3"/>
        <v>-164649.06479999935</v>
      </c>
    </row>
    <row r="17" spans="1:16" x14ac:dyDescent="0.35">
      <c r="A17" s="29">
        <f t="shared" si="0"/>
        <v>6</v>
      </c>
      <c r="B17" s="30" t="str">
        <f>EST!B93</f>
        <v>06-00-00 Wood, Plastics, &amp; Composites</v>
      </c>
      <c r="D17" s="253">
        <f>EST!F100</f>
        <v>386314.25</v>
      </c>
      <c r="E17" s="253">
        <f>EST!H100</f>
        <v>376394.25</v>
      </c>
      <c r="F17" s="253">
        <f>EST!J100</f>
        <v>376394.25</v>
      </c>
      <c r="I17" s="253">
        <v>386209.57400000002</v>
      </c>
      <c r="N17" s="70">
        <f t="shared" si="4"/>
        <v>104.67599999997765</v>
      </c>
      <c r="O17" s="70">
        <f t="shared" si="2"/>
        <v>-9815.3240000000224</v>
      </c>
      <c r="P17" s="70">
        <f t="shared" si="3"/>
        <v>-9815.3240000000224</v>
      </c>
    </row>
    <row r="18" spans="1:16" x14ac:dyDescent="0.35">
      <c r="A18" s="29">
        <f t="shared" si="0"/>
        <v>7</v>
      </c>
      <c r="B18" s="30" t="str">
        <f>EST!B102</f>
        <v>07-00-00 Thermal and Moisture Protection</v>
      </c>
      <c r="D18" s="253">
        <f>EST!F117</f>
        <v>2013988</v>
      </c>
      <c r="E18" s="253">
        <f>EST!H117</f>
        <v>2007895.2</v>
      </c>
      <c r="F18" s="253">
        <f>EST!J117</f>
        <v>2007895.2</v>
      </c>
      <c r="I18" s="253">
        <v>2013988.0394499998</v>
      </c>
      <c r="N18" s="70">
        <f t="shared" si="4"/>
        <v>-3.9449999807402492E-2</v>
      </c>
      <c r="O18" s="70">
        <f t="shared" si="2"/>
        <v>-6092.839449999854</v>
      </c>
      <c r="P18" s="70">
        <f t="shared" si="3"/>
        <v>-6092.839449999854</v>
      </c>
    </row>
    <row r="19" spans="1:16" x14ac:dyDescent="0.35">
      <c r="A19" s="29">
        <f t="shared" si="0"/>
        <v>8</v>
      </c>
      <c r="B19" s="30" t="str">
        <f>EST!B119</f>
        <v>08-00-00 Openings</v>
      </c>
      <c r="D19" s="253">
        <f>EST!F139</f>
        <v>1787408</v>
      </c>
      <c r="E19" s="253">
        <f>EST!H139</f>
        <v>1783506.825</v>
      </c>
      <c r="F19" s="253">
        <f>EST!J139</f>
        <v>1759961.7450000001</v>
      </c>
      <c r="I19" s="253">
        <v>1787407.8330750002</v>
      </c>
      <c r="N19" s="70">
        <f t="shared" si="4"/>
        <v>0.16692499979399145</v>
      </c>
      <c r="O19" s="70">
        <f t="shared" si="2"/>
        <v>-3901.0080750002526</v>
      </c>
      <c r="P19" s="70">
        <f t="shared" si="3"/>
        <v>-27446.088075000094</v>
      </c>
    </row>
    <row r="20" spans="1:16" x14ac:dyDescent="0.35">
      <c r="A20" s="29">
        <f t="shared" si="0"/>
        <v>9</v>
      </c>
      <c r="B20" s="30" t="str">
        <f>EST!B141</f>
        <v>09-00-00 Finishes</v>
      </c>
      <c r="D20" s="253">
        <f>EST!F165</f>
        <v>2798966</v>
      </c>
      <c r="E20" s="253">
        <f>EST!H165</f>
        <v>2733592.7774999999</v>
      </c>
      <c r="F20" s="253">
        <f>EST!J165</f>
        <v>2733592.7774999999</v>
      </c>
      <c r="I20" s="253">
        <v>2792966.2724299994</v>
      </c>
      <c r="N20" s="70">
        <f t="shared" si="4"/>
        <v>5999.7275700005703</v>
      </c>
      <c r="O20" s="70">
        <f t="shared" si="2"/>
        <v>-59373.494929999579</v>
      </c>
      <c r="P20" s="70">
        <f t="shared" si="3"/>
        <v>-59373.494929999579</v>
      </c>
    </row>
    <row r="21" spans="1:16" x14ac:dyDescent="0.35">
      <c r="A21" s="29">
        <f t="shared" si="0"/>
        <v>10</v>
      </c>
      <c r="B21" s="30" t="str">
        <f>EST!B167</f>
        <v>10-00-00 Specialties</v>
      </c>
      <c r="D21" s="253">
        <f>EST!F173</f>
        <v>159011.93</v>
      </c>
      <c r="E21" s="253">
        <f>EST!H173</f>
        <v>154928.73000000001</v>
      </c>
      <c r="F21" s="253">
        <f>EST!J173</f>
        <v>154928.73000000001</v>
      </c>
      <c r="I21" s="253">
        <v>158947.34999999998</v>
      </c>
      <c r="N21" s="70">
        <f t="shared" si="4"/>
        <v>64.580000000016298</v>
      </c>
      <c r="O21" s="70">
        <f t="shared" si="2"/>
        <v>-4018.6199999999662</v>
      </c>
      <c r="P21" s="70">
        <f t="shared" si="3"/>
        <v>-4018.6199999999662</v>
      </c>
    </row>
    <row r="22" spans="1:16" x14ac:dyDescent="0.35">
      <c r="A22" s="29">
        <f t="shared" si="0"/>
        <v>11</v>
      </c>
      <c r="B22" s="30" t="str">
        <f>EST!B175</f>
        <v>11-00-00 Equipments</v>
      </c>
      <c r="D22" s="253">
        <f>EST!F179</f>
        <v>129602.20000000001</v>
      </c>
      <c r="E22" s="253">
        <f>EST!H179</f>
        <v>126274.2</v>
      </c>
      <c r="F22" s="253">
        <f>EST!J179</f>
        <v>126274.2</v>
      </c>
      <c r="I22" s="253">
        <v>129537.5</v>
      </c>
      <c r="N22" s="70">
        <f t="shared" si="4"/>
        <v>64.700000000011642</v>
      </c>
      <c r="O22" s="70">
        <f t="shared" si="2"/>
        <v>-3263.3000000000029</v>
      </c>
      <c r="P22" s="70">
        <f t="shared" si="3"/>
        <v>-3263.3000000000029</v>
      </c>
    </row>
    <row r="23" spans="1:16" x14ac:dyDescent="0.35">
      <c r="A23" s="29">
        <f t="shared" si="0"/>
        <v>12</v>
      </c>
      <c r="B23" s="30" t="str">
        <f>EST!B181</f>
        <v>12-00-00 Furnishings</v>
      </c>
      <c r="D23" s="253">
        <f>EST!F185</f>
        <v>176956.84999999998</v>
      </c>
      <c r="E23" s="253">
        <f>EST!H185</f>
        <v>172412.85</v>
      </c>
      <c r="F23" s="253">
        <f>EST!J185</f>
        <v>172412.85</v>
      </c>
      <c r="I23" s="253">
        <v>176970.8</v>
      </c>
      <c r="N23" s="70">
        <f t="shared" si="4"/>
        <v>-13.950000000011642</v>
      </c>
      <c r="O23" s="70">
        <f t="shared" si="2"/>
        <v>-4557.9499999999825</v>
      </c>
      <c r="P23" s="70">
        <f t="shared" si="3"/>
        <v>-4557.9499999999825</v>
      </c>
    </row>
    <row r="24" spans="1:16" x14ac:dyDescent="0.35">
      <c r="A24" s="29">
        <f t="shared" si="0"/>
        <v>13</v>
      </c>
      <c r="B24" s="30" t="str">
        <f>EST!B187</f>
        <v>13-00-00 Special Construction</v>
      </c>
      <c r="D24" s="253">
        <f>EST!F190</f>
        <v>0</v>
      </c>
      <c r="E24" s="253">
        <f>EST!H190</f>
        <v>0</v>
      </c>
      <c r="F24" s="253">
        <f>EST!J190</f>
        <v>0</v>
      </c>
      <c r="I24" s="253">
        <v>0</v>
      </c>
      <c r="N24" s="70">
        <f t="shared" si="4"/>
        <v>0</v>
      </c>
      <c r="O24" s="70">
        <f t="shared" si="2"/>
        <v>0</v>
      </c>
      <c r="P24" s="70">
        <f t="shared" si="3"/>
        <v>0</v>
      </c>
    </row>
    <row r="25" spans="1:16" x14ac:dyDescent="0.35">
      <c r="A25" s="29">
        <f t="shared" si="0"/>
        <v>14</v>
      </c>
      <c r="B25" s="30" t="str">
        <f>EST!B192</f>
        <v>14-00-00 Elevators</v>
      </c>
      <c r="D25" s="253">
        <f>EST!F196</f>
        <v>607136.46</v>
      </c>
      <c r="E25" s="253">
        <f>EST!H196</f>
        <v>591546.05999999994</v>
      </c>
      <c r="F25" s="253">
        <f>EST!J196</f>
        <v>591546.05999999994</v>
      </c>
      <c r="I25" s="253">
        <v>607375</v>
      </c>
      <c r="N25" s="70">
        <f t="shared" si="4"/>
        <v>-238.54000000003725</v>
      </c>
      <c r="O25" s="70">
        <f t="shared" si="2"/>
        <v>-15828.940000000061</v>
      </c>
      <c r="P25" s="70">
        <f t="shared" si="3"/>
        <v>-15828.940000000061</v>
      </c>
    </row>
    <row r="26" spans="1:16" x14ac:dyDescent="0.35">
      <c r="A26" s="29">
        <f t="shared" si="0"/>
        <v>15</v>
      </c>
      <c r="B26" s="30" t="str">
        <f>EST!B198</f>
        <v>21-00-00 Fire Suppression</v>
      </c>
      <c r="D26" s="253">
        <f>EST!F204</f>
        <v>509436.34</v>
      </c>
      <c r="E26" s="253">
        <f>EST!H204</f>
        <v>496354.74000000005</v>
      </c>
      <c r="F26" s="253">
        <f>EST!J204</f>
        <v>496354.74000000005</v>
      </c>
      <c r="I26" s="253">
        <v>509383.64375000005</v>
      </c>
      <c r="N26" s="70">
        <f t="shared" si="4"/>
        <v>52.696249999979045</v>
      </c>
      <c r="O26" s="70">
        <f t="shared" si="2"/>
        <v>-13028.903749999998</v>
      </c>
      <c r="P26" s="70">
        <f t="shared" si="3"/>
        <v>-13028.903749999998</v>
      </c>
    </row>
    <row r="27" spans="1:16" x14ac:dyDescent="0.35">
      <c r="A27" s="29">
        <f t="shared" si="0"/>
        <v>16</v>
      </c>
      <c r="B27" s="30" t="str">
        <f>EST!B206</f>
        <v>22-00-00 Plumbing</v>
      </c>
      <c r="D27" s="253">
        <f>EST!F212</f>
        <v>854469.38</v>
      </c>
      <c r="E27" s="253">
        <f>EST!H212</f>
        <v>833298.17999999993</v>
      </c>
      <c r="F27" s="253">
        <f>EST!J212</f>
        <v>833298.17999999993</v>
      </c>
      <c r="I27" s="253">
        <v>824473.5848999999</v>
      </c>
      <c r="N27" s="70">
        <f t="shared" si="4"/>
        <v>29995.795100000105</v>
      </c>
      <c r="O27" s="70">
        <f t="shared" si="2"/>
        <v>8824.595100000035</v>
      </c>
      <c r="P27" s="70">
        <f t="shared" si="3"/>
        <v>8824.595100000035</v>
      </c>
    </row>
    <row r="28" spans="1:16" x14ac:dyDescent="0.35">
      <c r="A28" s="29">
        <f t="shared" si="0"/>
        <v>17</v>
      </c>
      <c r="B28" s="30" t="str">
        <f>EST!B214</f>
        <v>23-00-00 Heating, Ventilation, &amp; Air Conditioning (HVAC)</v>
      </c>
      <c r="D28" s="253">
        <f>EST!F259</f>
        <v>4796399.79</v>
      </c>
      <c r="E28" s="253">
        <f>EST!H259</f>
        <v>4812099.79</v>
      </c>
      <c r="F28" s="253">
        <f>EST!J259</f>
        <v>3858768.04</v>
      </c>
      <c r="I28" s="253">
        <v>5775993.2331717527</v>
      </c>
      <c r="N28" s="70">
        <f t="shared" si="4"/>
        <v>-979593.44317175262</v>
      </c>
      <c r="O28" s="70">
        <f t="shared" si="2"/>
        <v>-963893.44317175262</v>
      </c>
      <c r="P28" s="70">
        <f t="shared" si="3"/>
        <v>-1917225.1931717526</v>
      </c>
    </row>
    <row r="29" spans="1:16" x14ac:dyDescent="0.35">
      <c r="A29" s="29">
        <f t="shared" si="0"/>
        <v>18</v>
      </c>
      <c r="B29" s="30" t="str">
        <f>EST!B261</f>
        <v>26-00-00 Electrical</v>
      </c>
      <c r="D29" s="253">
        <f>EST!F445</f>
        <v>2539348.4015261251</v>
      </c>
      <c r="E29" s="253">
        <f>EST!H445</f>
        <v>2476522.495316125</v>
      </c>
      <c r="F29" s="253">
        <f>EST!J445</f>
        <v>2447072.9287984376</v>
      </c>
      <c r="I29" s="253">
        <v>2554638.4606706477</v>
      </c>
      <c r="N29" s="70">
        <f t="shared" si="4"/>
        <v>-15290.059144522529</v>
      </c>
      <c r="O29" s="70">
        <f t="shared" si="2"/>
        <v>-78115.96535452269</v>
      </c>
      <c r="P29" s="70">
        <f t="shared" si="3"/>
        <v>-107565.53187221009</v>
      </c>
    </row>
    <row r="30" spans="1:16" x14ac:dyDescent="0.35">
      <c r="A30" s="29">
        <f t="shared" si="0"/>
        <v>19</v>
      </c>
      <c r="B30" s="30" t="str">
        <f>EST!B447</f>
        <v>27-00-00 Communications</v>
      </c>
      <c r="D30" s="253">
        <f>EST!F453</f>
        <v>168981.33000000002</v>
      </c>
      <c r="E30" s="253">
        <f>EST!H453</f>
        <v>164642.13</v>
      </c>
      <c r="F30" s="253">
        <f>EST!J453</f>
        <v>164642.13</v>
      </c>
      <c r="I30" s="253">
        <v>168903.84090000001</v>
      </c>
      <c r="N30" s="70">
        <f t="shared" si="4"/>
        <v>77.489100000006147</v>
      </c>
      <c r="O30" s="70">
        <f t="shared" si="2"/>
        <v>-4261.7109000000055</v>
      </c>
      <c r="P30" s="70">
        <f t="shared" si="3"/>
        <v>-4261.7109000000055</v>
      </c>
    </row>
    <row r="31" spans="1:16" x14ac:dyDescent="0.35">
      <c r="A31" s="29">
        <f t="shared" si="0"/>
        <v>20</v>
      </c>
      <c r="B31" s="30" t="str">
        <f>EST!B455</f>
        <v>28-00-00 Electronic Safety &amp; Security</v>
      </c>
      <c r="D31" s="253">
        <f>EST!F461</f>
        <v>433170.43</v>
      </c>
      <c r="E31" s="253">
        <f>EST!H461</f>
        <v>422047.23</v>
      </c>
      <c r="F31" s="253">
        <f>EST!J461</f>
        <v>422047.23</v>
      </c>
      <c r="I31" s="253">
        <v>433275.28581250005</v>
      </c>
      <c r="N31" s="70">
        <f t="shared" si="4"/>
        <v>-104.85581250005635</v>
      </c>
      <c r="O31" s="70">
        <f t="shared" si="2"/>
        <v>-11228.055812500068</v>
      </c>
      <c r="P31" s="70">
        <f t="shared" si="3"/>
        <v>-11228.055812500068</v>
      </c>
    </row>
    <row r="32" spans="1:16" x14ac:dyDescent="0.35">
      <c r="A32" s="29">
        <f t="shared" si="0"/>
        <v>21</v>
      </c>
      <c r="B32" s="30" t="str">
        <f>EST!B464</f>
        <v>31-00-00 Earthwork</v>
      </c>
      <c r="D32" s="253">
        <f>EST!F475</f>
        <v>0</v>
      </c>
      <c r="E32" s="253">
        <f>EST!H475</f>
        <v>-49395.555555555555</v>
      </c>
      <c r="F32" s="253">
        <f>EST!J475</f>
        <v>-49395.555555555555</v>
      </c>
      <c r="I32" s="253"/>
      <c r="N32" s="70">
        <f t="shared" si="4"/>
        <v>0</v>
      </c>
      <c r="O32" s="70">
        <f t="shared" si="2"/>
        <v>-49395.555555555555</v>
      </c>
      <c r="P32" s="70">
        <f t="shared" si="3"/>
        <v>-49395.555555555555</v>
      </c>
    </row>
    <row r="33" spans="1:16" x14ac:dyDescent="0.35">
      <c r="A33" s="29">
        <f t="shared" si="0"/>
        <v>22</v>
      </c>
      <c r="B33" s="30" t="str">
        <f>EST!B477</f>
        <v>32-00-00 Exterior Improvements</v>
      </c>
      <c r="D33" s="253">
        <f>EST!F480</f>
        <v>0</v>
      </c>
      <c r="E33" s="253">
        <f>EST!H480</f>
        <v>0</v>
      </c>
      <c r="F33" s="253">
        <f>EST!J480</f>
        <v>0</v>
      </c>
      <c r="I33" s="253">
        <v>0</v>
      </c>
      <c r="N33" s="70">
        <f t="shared" si="4"/>
        <v>0</v>
      </c>
      <c r="O33" s="70">
        <f t="shared" si="2"/>
        <v>0</v>
      </c>
      <c r="P33" s="70">
        <f t="shared" si="3"/>
        <v>0</v>
      </c>
    </row>
    <row r="34" spans="1:16" x14ac:dyDescent="0.35">
      <c r="A34" s="29">
        <f t="shared" si="0"/>
        <v>23</v>
      </c>
      <c r="B34" s="30" t="str">
        <f>EST!B482</f>
        <v>33-00-00 Utilities</v>
      </c>
      <c r="D34" s="253">
        <f>EST!F553</f>
        <v>1197001.6861844999</v>
      </c>
      <c r="E34" s="253">
        <f>EST!H553</f>
        <v>-338798.31381549995</v>
      </c>
      <c r="F34" s="253">
        <f>EST!J553</f>
        <v>-338798.31381549995</v>
      </c>
      <c r="I34" s="253"/>
      <c r="N34" s="70">
        <f t="shared" si="4"/>
        <v>1197001.6861844999</v>
      </c>
      <c r="O34" s="70">
        <f t="shared" si="2"/>
        <v>-338798.31381549995</v>
      </c>
      <c r="P34" s="70">
        <f t="shared" si="3"/>
        <v>-338798.31381549995</v>
      </c>
    </row>
    <row r="35" spans="1:16" x14ac:dyDescent="0.35">
      <c r="A35" s="29">
        <f t="shared" si="0"/>
        <v>24</v>
      </c>
      <c r="B35" s="30"/>
      <c r="D35" s="254" t="s">
        <v>6</v>
      </c>
      <c r="E35" s="254" t="s">
        <v>6</v>
      </c>
      <c r="F35" s="254" t="s">
        <v>6</v>
      </c>
      <c r="I35" s="254" t="s">
        <v>6</v>
      </c>
    </row>
    <row r="36" spans="1:16" x14ac:dyDescent="0.35">
      <c r="A36" s="29">
        <f t="shared" si="0"/>
        <v>25</v>
      </c>
      <c r="B36" s="34" t="s">
        <v>32</v>
      </c>
      <c r="C36" s="66"/>
      <c r="D36" s="253">
        <f>SUM(D10:D35)</f>
        <v>28594817.952481683</v>
      </c>
      <c r="E36" s="253">
        <f>SUM(E10:E35)</f>
        <v>26347019.100437719</v>
      </c>
      <c r="F36" s="253">
        <f>SUM(F10:F35)</f>
        <v>25205527.280268263</v>
      </c>
      <c r="I36" s="253">
        <v>28305371.345479771</v>
      </c>
      <c r="K36" s="70">
        <f>SUM(F13:F34)</f>
        <v>22914115.709334787</v>
      </c>
      <c r="N36" s="70">
        <f t="shared" ref="N36" si="5">D36-$I36</f>
        <v>289446.60700191185</v>
      </c>
      <c r="O36" s="70">
        <f t="shared" ref="O36" si="6">E36-$I36</f>
        <v>-1958352.2450420521</v>
      </c>
      <c r="P36" s="70">
        <f t="shared" ref="P36" si="7">F36-$I36</f>
        <v>-3099844.0652115084</v>
      </c>
    </row>
    <row r="37" spans="1:16" x14ac:dyDescent="0.35">
      <c r="A37" s="29">
        <f t="shared" si="0"/>
        <v>26</v>
      </c>
      <c r="B37" s="30" t="s">
        <v>63</v>
      </c>
      <c r="C37" s="67">
        <f>BOE!F45</f>
        <v>0.08</v>
      </c>
      <c r="D37" s="253">
        <f>D36*$C$37</f>
        <v>2287585.4361985349</v>
      </c>
      <c r="E37" s="253">
        <f>E36*$C$37</f>
        <v>2107761.5280350177</v>
      </c>
      <c r="F37" s="253">
        <f>F36*$C$37</f>
        <v>2016442.182421461</v>
      </c>
      <c r="I37" s="253">
        <v>2264429.707638382</v>
      </c>
    </row>
    <row r="38" spans="1:16" x14ac:dyDescent="0.35">
      <c r="A38" s="29">
        <f t="shared" si="0"/>
        <v>27</v>
      </c>
      <c r="C38" s="67"/>
      <c r="D38" s="254" t="s">
        <v>6</v>
      </c>
      <c r="E38" s="254" t="s">
        <v>6</v>
      </c>
      <c r="F38" s="254" t="s">
        <v>6</v>
      </c>
      <c r="I38" s="254" t="s">
        <v>6</v>
      </c>
    </row>
    <row r="39" spans="1:16" x14ac:dyDescent="0.35">
      <c r="A39" s="29">
        <f t="shared" si="0"/>
        <v>28</v>
      </c>
      <c r="B39" s="34" t="s">
        <v>33</v>
      </c>
      <c r="C39" s="67"/>
      <c r="D39" s="253">
        <f>SUM(D36:D38)</f>
        <v>30882403.38868022</v>
      </c>
      <c r="E39" s="253">
        <f>SUM(E36:E38)</f>
        <v>28454780.628472738</v>
      </c>
      <c r="F39" s="253">
        <f>SUM(F36:F38)</f>
        <v>27221969.462689724</v>
      </c>
      <c r="I39" s="253">
        <v>30569801.053118154</v>
      </c>
    </row>
    <row r="40" spans="1:16" x14ac:dyDescent="0.35">
      <c r="A40" s="29">
        <f t="shared" si="0"/>
        <v>29</v>
      </c>
      <c r="B40" s="30" t="s">
        <v>28</v>
      </c>
      <c r="C40" s="67">
        <f>BOE!F46</f>
        <v>0.1</v>
      </c>
      <c r="D40" s="253">
        <f>D39*$C$40</f>
        <v>3088240.338868022</v>
      </c>
      <c r="E40" s="253">
        <f>E39*$C$40</f>
        <v>2845478.0628472739</v>
      </c>
      <c r="F40" s="253">
        <f>F39*$C$40</f>
        <v>2722196.9462689725</v>
      </c>
      <c r="I40" s="253">
        <v>0</v>
      </c>
    </row>
    <row r="41" spans="1:16" x14ac:dyDescent="0.35">
      <c r="A41" s="29">
        <f t="shared" si="0"/>
        <v>30</v>
      </c>
      <c r="C41" s="67"/>
      <c r="D41" s="254" t="s">
        <v>6</v>
      </c>
      <c r="E41" s="254" t="s">
        <v>6</v>
      </c>
      <c r="F41" s="254" t="s">
        <v>6</v>
      </c>
      <c r="I41" s="254" t="s">
        <v>6</v>
      </c>
    </row>
    <row r="42" spans="1:16" x14ac:dyDescent="0.35">
      <c r="A42" s="29">
        <f t="shared" si="0"/>
        <v>31</v>
      </c>
      <c r="B42" s="34" t="s">
        <v>34</v>
      </c>
      <c r="C42" s="66"/>
      <c r="D42" s="253">
        <f>SUM(D39:D41)</f>
        <v>33970643.727548242</v>
      </c>
      <c r="E42" s="253">
        <f>SUM(E39:E41)</f>
        <v>31300258.691320013</v>
      </c>
      <c r="F42" s="253">
        <f>SUM(F39:F41)</f>
        <v>29944166.408958696</v>
      </c>
      <c r="I42" s="253">
        <v>30569801.053118154</v>
      </c>
    </row>
    <row r="43" spans="1:16" x14ac:dyDescent="0.35">
      <c r="A43" s="29">
        <f t="shared" si="0"/>
        <v>32</v>
      </c>
      <c r="B43" s="30" t="s">
        <v>62</v>
      </c>
      <c r="C43" s="67">
        <f>BOE!F48</f>
        <v>8.4375000000000006E-2</v>
      </c>
      <c r="D43" s="253">
        <f>D42*$C$43</f>
        <v>2866273.0645118831</v>
      </c>
      <c r="E43" s="253">
        <f>E42*$C$43</f>
        <v>2640959.3270801264</v>
      </c>
      <c r="F43" s="253">
        <f>F42*$C$43</f>
        <v>2526539.0407558903</v>
      </c>
      <c r="I43" s="253">
        <v>2579326.9638568442</v>
      </c>
    </row>
    <row r="44" spans="1:16" x14ac:dyDescent="0.35">
      <c r="A44" s="29">
        <f t="shared" si="0"/>
        <v>33</v>
      </c>
      <c r="C44" s="66"/>
      <c r="D44" s="254" t="s">
        <v>6</v>
      </c>
      <c r="E44" s="254" t="s">
        <v>6</v>
      </c>
      <c r="F44" s="254" t="s">
        <v>6</v>
      </c>
      <c r="I44" s="254" t="s">
        <v>6</v>
      </c>
    </row>
    <row r="45" spans="1:16" ht="13.9" x14ac:dyDescent="0.4">
      <c r="A45" s="59">
        <f t="shared" si="0"/>
        <v>34</v>
      </c>
      <c r="B45" s="60" t="s">
        <v>35</v>
      </c>
      <c r="C45" s="68"/>
      <c r="D45" s="255">
        <f>SUM(D42:D44)</f>
        <v>36836916.792060122</v>
      </c>
      <c r="E45" s="255">
        <f>SUM(E42:E44)</f>
        <v>33941218.01840014</v>
      </c>
      <c r="F45" s="255">
        <f>SUM(F42:F44)</f>
        <v>32470705.449714586</v>
      </c>
      <c r="I45" s="255">
        <v>33149128.016975001</v>
      </c>
    </row>
    <row r="46" spans="1:16" x14ac:dyDescent="0.35">
      <c r="A46" s="29">
        <f t="shared" si="0"/>
        <v>35</v>
      </c>
      <c r="B46" s="30" t="s">
        <v>80</v>
      </c>
      <c r="C46" s="67">
        <v>0.05</v>
      </c>
      <c r="D46" s="253">
        <f>D45*$C$46</f>
        <v>1841845.8396030061</v>
      </c>
      <c r="E46" s="253">
        <f>E45*$C$46</f>
        <v>1697060.9009200071</v>
      </c>
      <c r="F46" s="253">
        <f>F45*$C$46</f>
        <v>1623535.2724857293</v>
      </c>
      <c r="I46" s="253">
        <v>1657456.40084875</v>
      </c>
      <c r="L46" s="2">
        <f>1.1*1.08*1.1*1.05*1.084</f>
        <v>1.4873997600000004</v>
      </c>
    </row>
    <row r="47" spans="1:16" x14ac:dyDescent="0.35">
      <c r="A47" s="29">
        <f t="shared" si="0"/>
        <v>36</v>
      </c>
      <c r="C47" s="66"/>
      <c r="D47" s="254" t="s">
        <v>6</v>
      </c>
      <c r="E47" s="254" t="s">
        <v>6</v>
      </c>
      <c r="F47" s="254" t="s">
        <v>6</v>
      </c>
      <c r="I47" s="254" t="s">
        <v>6</v>
      </c>
    </row>
    <row r="48" spans="1:16" ht="13.9" thickBot="1" x14ac:dyDescent="0.4">
      <c r="A48" s="36">
        <f t="shared" si="0"/>
        <v>37</v>
      </c>
      <c r="B48" s="26" t="s">
        <v>81</v>
      </c>
      <c r="C48" s="25"/>
      <c r="D48" s="256">
        <f>SUM(D45:D47)</f>
        <v>38678762.631663129</v>
      </c>
      <c r="E48" s="256">
        <f>SUM(E45:E47)</f>
        <v>35638278.919320144</v>
      </c>
      <c r="F48" s="256">
        <f>SUM(F45:F47)</f>
        <v>34094240.722200319</v>
      </c>
      <c r="I48" s="256">
        <v>34806584.417823747</v>
      </c>
      <c r="J48" s="2">
        <f>F48/F36</f>
        <v>1.3526493750000002</v>
      </c>
      <c r="K48" s="2">
        <f>F48/K36*0.1</f>
        <v>0.14879143125000002</v>
      </c>
    </row>
    <row r="49" spans="1:15" x14ac:dyDescent="0.35">
      <c r="A49" s="39"/>
      <c r="D49" s="257"/>
      <c r="E49" s="257"/>
      <c r="F49" s="257"/>
      <c r="I49" s="257"/>
    </row>
    <row r="50" spans="1:15" x14ac:dyDescent="0.35">
      <c r="A50" s="29"/>
      <c r="B50" s="2" t="s">
        <v>777</v>
      </c>
      <c r="D50" s="258">
        <f>F50</f>
        <v>9580614.4966588039</v>
      </c>
      <c r="E50" s="258">
        <f>F50</f>
        <v>9580614.4966588039</v>
      </c>
      <c r="F50" s="253">
        <f>'SUM SITE'!F36</f>
        <v>9580614.4966588039</v>
      </c>
      <c r="I50" s="258">
        <f>F50</f>
        <v>9580614.4966588039</v>
      </c>
      <c r="O50" s="163">
        <f>D36*L46/1.1</f>
        <v>38665386.690695412</v>
      </c>
    </row>
    <row r="51" spans="1:15" ht="13.9" x14ac:dyDescent="0.4">
      <c r="A51" s="29"/>
      <c r="B51" s="21"/>
      <c r="C51" s="21"/>
      <c r="D51" s="259"/>
      <c r="E51" s="259"/>
      <c r="F51" s="265"/>
      <c r="I51" s="259"/>
    </row>
    <row r="52" spans="1:15" ht="27.75" x14ac:dyDescent="0.4">
      <c r="A52" s="29"/>
      <c r="B52" s="268" t="s">
        <v>779</v>
      </c>
      <c r="C52" s="21"/>
      <c r="D52" s="259">
        <f>D48+D50</f>
        <v>48259377.128321931</v>
      </c>
      <c r="E52" s="259">
        <f>E48+E50</f>
        <v>45218893.415978946</v>
      </c>
      <c r="F52" s="259">
        <f>F48+F50</f>
        <v>43674855.218859121</v>
      </c>
      <c r="I52" s="259">
        <f>I48+I50</f>
        <v>44387198.914482549</v>
      </c>
    </row>
    <row r="53" spans="1:15" x14ac:dyDescent="0.35">
      <c r="A53" s="29"/>
      <c r="D53" s="257"/>
      <c r="E53" s="257"/>
      <c r="F53" s="257"/>
      <c r="I53" s="257"/>
    </row>
    <row r="54" spans="1:15" x14ac:dyDescent="0.35">
      <c r="A54" s="29"/>
      <c r="B54" s="2" t="s">
        <v>74</v>
      </c>
      <c r="D54" s="260">
        <f>EST!E8</f>
        <v>49847</v>
      </c>
      <c r="E54" s="264">
        <f>EST!G8</f>
        <v>48567</v>
      </c>
      <c r="F54" s="264">
        <f>EST!I8</f>
        <v>48567</v>
      </c>
      <c r="I54" s="260">
        <f>D54</f>
        <v>49847</v>
      </c>
    </row>
    <row r="55" spans="1:15" x14ac:dyDescent="0.35">
      <c r="A55" s="29"/>
      <c r="B55" s="49" t="s">
        <v>83</v>
      </c>
      <c r="C55" s="49"/>
      <c r="D55" s="261">
        <f>D45/$D$54</f>
        <v>738.99967484623187</v>
      </c>
      <c r="E55" s="261">
        <f>E45/$E$54</f>
        <v>698.85350172751339</v>
      </c>
      <c r="F55" s="261">
        <f>F45/$F$54</f>
        <v>668.57548231751161</v>
      </c>
      <c r="I55" s="261">
        <f>I45/$I$54</f>
        <v>665.01751393213237</v>
      </c>
    </row>
    <row r="56" spans="1:15" x14ac:dyDescent="0.35">
      <c r="A56" s="266"/>
      <c r="B56" s="267" t="s">
        <v>82</v>
      </c>
      <c r="C56" s="267"/>
      <c r="D56" s="262">
        <f>D48/$D$54</f>
        <v>775.94965858854357</v>
      </c>
      <c r="E56" s="262">
        <f>E48/$E$54</f>
        <v>733.79617681388891</v>
      </c>
      <c r="F56" s="262">
        <f>F48/$F$54</f>
        <v>702.00425643338724</v>
      </c>
      <c r="I56" s="262">
        <f>I48/$I$54</f>
        <v>698.26838962873887</v>
      </c>
    </row>
  </sheetData>
  <mergeCells count="1">
    <mergeCell ref="A8:F8"/>
  </mergeCells>
  <pageMargins left="0.7" right="0.7" top="0.75" bottom="0.75" header="0.3" footer="0.3"/>
  <pageSetup scale="6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89FD-70CA-425E-A95D-71D03B59E361}">
  <sheetPr transitionEvaluation="1" transitionEntry="1"/>
  <dimension ref="A4:O559"/>
  <sheetViews>
    <sheetView view="pageBreakPreview" topLeftCell="C530" zoomScaleNormal="85" zoomScaleSheetLayoutView="100" workbookViewId="0">
      <selection activeCell="A25" sqref="A25"/>
    </sheetView>
  </sheetViews>
  <sheetFormatPr defaultColWidth="9.1328125" defaultRowHeight="13.5" x14ac:dyDescent="0.35"/>
  <cols>
    <col min="1" max="1" width="4.46484375" style="166" bestFit="1" customWidth="1"/>
    <col min="2" max="2" width="58.6640625" style="2" bestFit="1" customWidth="1"/>
    <col min="3" max="3" width="15.19921875" style="7" bestFit="1" customWidth="1"/>
    <col min="4" max="4" width="8" style="3" customWidth="1"/>
    <col min="5" max="5" width="14" style="16" bestFit="1" customWidth="1"/>
    <col min="6" max="8" width="12.33203125" style="16" bestFit="1" customWidth="1"/>
    <col min="9" max="9" width="13.33203125" style="8" customWidth="1"/>
    <col min="10" max="10" width="12.33203125" style="2" bestFit="1" customWidth="1"/>
    <col min="11" max="11" width="2.33203125" style="2" customWidth="1"/>
    <col min="12" max="12" width="10.46484375" style="8" bestFit="1" customWidth="1"/>
    <col min="13" max="13" width="13.33203125" style="2" bestFit="1" customWidth="1"/>
    <col min="14" max="14" width="5.86328125" style="2" bestFit="1" customWidth="1"/>
    <col min="15" max="15" width="9.1328125" style="2" bestFit="1" customWidth="1"/>
    <col min="16" max="16" width="10.53125" style="2" bestFit="1" customWidth="1"/>
    <col min="17" max="16384" width="9.1328125" style="2"/>
  </cols>
  <sheetData>
    <row r="4" spans="1:10" x14ac:dyDescent="0.35">
      <c r="B4" s="2" t="str">
        <f>TITLE!A14</f>
        <v>COLLEGE OF TECHNOLOGY AT FARMINGDALE</v>
      </c>
    </row>
    <row r="5" spans="1:10" x14ac:dyDescent="0.35">
      <c r="B5" s="2" t="str">
        <f>TITLE!A18</f>
        <v>Farmingdale, New York</v>
      </c>
    </row>
    <row r="6" spans="1:10" ht="13.9" x14ac:dyDescent="0.4">
      <c r="B6" s="21" t="str">
        <f>TITLE!A21</f>
        <v>Concept Estimate</v>
      </c>
      <c r="J6" s="4">
        <f>TITLE!A24</f>
        <v>44263</v>
      </c>
    </row>
    <row r="8" spans="1:10" x14ac:dyDescent="0.35">
      <c r="B8" s="2" t="str">
        <f>TITLE!A17</f>
        <v>NET ZERO CARBON STUDY</v>
      </c>
      <c r="E8" s="16">
        <v>49847</v>
      </c>
      <c r="F8" s="16" t="s">
        <v>89</v>
      </c>
      <c r="G8" s="16">
        <f>49847-1280</f>
        <v>48567</v>
      </c>
      <c r="H8" s="16" t="s">
        <v>89</v>
      </c>
      <c r="I8" s="16">
        <f>49847-1280</f>
        <v>48567</v>
      </c>
      <c r="J8" s="16" t="s">
        <v>89</v>
      </c>
    </row>
    <row r="9" spans="1:10" ht="13.9" thickBot="1" x14ac:dyDescent="0.4"/>
    <row r="10" spans="1:10" ht="15" customHeight="1" x14ac:dyDescent="0.35">
      <c r="A10" s="303"/>
      <c r="B10" s="305" t="s">
        <v>4</v>
      </c>
      <c r="C10" s="307" t="s">
        <v>78</v>
      </c>
      <c r="D10" s="305" t="s">
        <v>7</v>
      </c>
      <c r="E10" s="302" t="s">
        <v>75</v>
      </c>
      <c r="F10" s="302"/>
      <c r="G10" s="302" t="s">
        <v>76</v>
      </c>
      <c r="H10" s="302"/>
      <c r="I10" s="302" t="s">
        <v>77</v>
      </c>
      <c r="J10" s="302" t="s">
        <v>5</v>
      </c>
    </row>
    <row r="11" spans="1:10" ht="13.9" thickBot="1" x14ac:dyDescent="0.4">
      <c r="A11" s="304"/>
      <c r="B11" s="306"/>
      <c r="C11" s="308"/>
      <c r="D11" s="306"/>
      <c r="E11" s="24" t="s">
        <v>79</v>
      </c>
      <c r="F11" s="24" t="s">
        <v>5</v>
      </c>
      <c r="G11" s="24" t="s">
        <v>79</v>
      </c>
      <c r="H11" s="24" t="s">
        <v>5</v>
      </c>
      <c r="I11" s="24" t="s">
        <v>79</v>
      </c>
      <c r="J11" s="24" t="s">
        <v>5</v>
      </c>
    </row>
    <row r="12" spans="1:10" x14ac:dyDescent="0.35">
      <c r="A12" s="167">
        <f t="shared" ref="A12:A26" si="0">ROW()-11</f>
        <v>1</v>
      </c>
      <c r="B12" s="9"/>
      <c r="C12" s="11"/>
      <c r="D12" s="10"/>
      <c r="E12" s="17"/>
      <c r="F12" s="17"/>
      <c r="G12" s="17"/>
      <c r="H12" s="17"/>
      <c r="I12" s="73"/>
      <c r="J12" s="9"/>
    </row>
    <row r="13" spans="1:10" x14ac:dyDescent="0.35">
      <c r="A13" s="168">
        <f t="shared" si="0"/>
        <v>2</v>
      </c>
      <c r="B13" s="62" t="s">
        <v>37</v>
      </c>
      <c r="C13" s="65"/>
      <c r="D13" s="63"/>
      <c r="E13" s="64"/>
      <c r="F13" s="64"/>
      <c r="G13" s="64"/>
      <c r="H13" s="64"/>
      <c r="I13" s="74"/>
      <c r="J13" s="42"/>
    </row>
    <row r="14" spans="1:10" x14ac:dyDescent="0.35">
      <c r="A14" s="169">
        <f t="shared" si="0"/>
        <v>3</v>
      </c>
      <c r="B14" s="9"/>
      <c r="C14" s="11"/>
      <c r="D14" s="10"/>
      <c r="E14" s="17"/>
      <c r="F14" s="17"/>
      <c r="G14" s="17"/>
      <c r="H14" s="17"/>
      <c r="I14" s="73"/>
      <c r="J14" s="18"/>
    </row>
    <row r="15" spans="1:10" x14ac:dyDescent="0.35">
      <c r="A15" s="169">
        <f t="shared" si="0"/>
        <v>4</v>
      </c>
      <c r="B15" s="13" t="s">
        <v>64</v>
      </c>
      <c r="C15" s="11">
        <v>1</v>
      </c>
      <c r="D15" s="10" t="s">
        <v>31</v>
      </c>
      <c r="E15" s="17">
        <f>SUM(F19:F555)/2*0.1</f>
        <v>2599528.9047710625</v>
      </c>
      <c r="F15" s="19">
        <f>E15*$C15</f>
        <v>2599528.9047710625</v>
      </c>
      <c r="G15" s="17">
        <f>SUM(H19:H555)/2*0.1</f>
        <v>2395183.5545852478</v>
      </c>
      <c r="H15" s="19">
        <f>G15*$C15</f>
        <v>2395183.5545852478</v>
      </c>
      <c r="I15" s="17">
        <f>SUM(J19:J555)/2*0.1</f>
        <v>2291411.5709334794</v>
      </c>
      <c r="J15" s="15">
        <f>I15*$C15</f>
        <v>2291411.5709334794</v>
      </c>
    </row>
    <row r="16" spans="1:10" x14ac:dyDescent="0.35">
      <c r="A16" s="169">
        <f t="shared" si="0"/>
        <v>5</v>
      </c>
      <c r="B16" s="9"/>
      <c r="C16" s="11"/>
      <c r="D16" s="10"/>
      <c r="E16" s="17"/>
      <c r="F16" s="20" t="s">
        <v>6</v>
      </c>
      <c r="G16" s="17"/>
      <c r="H16" s="20" t="s">
        <v>6</v>
      </c>
      <c r="I16" s="73"/>
      <c r="J16" s="20" t="s">
        <v>6</v>
      </c>
    </row>
    <row r="17" spans="1:12" x14ac:dyDescent="0.35">
      <c r="A17" s="169">
        <f t="shared" si="0"/>
        <v>6</v>
      </c>
      <c r="B17" s="13" t="str">
        <f>"Subtotal " &amp; B13</f>
        <v>Subtotal 01-00-00 General Requirements</v>
      </c>
      <c r="C17" s="11"/>
      <c r="D17" s="10"/>
      <c r="E17" s="17"/>
      <c r="F17" s="15">
        <f>SUM(F13:F16)</f>
        <v>2599528.9047710625</v>
      </c>
      <c r="G17" s="17"/>
      <c r="H17" s="15">
        <f>SUM(H13:H16)</f>
        <v>2395183.5545852478</v>
      </c>
      <c r="I17" s="73"/>
      <c r="J17" s="15">
        <f>SUM(J13:J16)</f>
        <v>2291411.5709334794</v>
      </c>
    </row>
    <row r="18" spans="1:12" x14ac:dyDescent="0.35">
      <c r="A18" s="169">
        <f t="shared" si="0"/>
        <v>7</v>
      </c>
      <c r="B18" s="13"/>
      <c r="C18" s="11"/>
      <c r="D18" s="10"/>
      <c r="E18" s="17"/>
      <c r="F18" s="15"/>
      <c r="G18" s="17"/>
      <c r="H18" s="15"/>
      <c r="I18" s="73"/>
      <c r="J18" s="15"/>
    </row>
    <row r="19" spans="1:12" x14ac:dyDescent="0.35">
      <c r="A19" s="168">
        <f t="shared" si="0"/>
        <v>8</v>
      </c>
      <c r="B19" s="62" t="s">
        <v>38</v>
      </c>
      <c r="C19" s="65"/>
      <c r="D19" s="63"/>
      <c r="E19" s="64"/>
      <c r="F19" s="64"/>
      <c r="G19" s="64"/>
      <c r="H19" s="64"/>
      <c r="I19" s="74"/>
      <c r="J19" s="42"/>
    </row>
    <row r="20" spans="1:12" x14ac:dyDescent="0.35">
      <c r="A20" s="169">
        <f t="shared" si="0"/>
        <v>9</v>
      </c>
      <c r="B20" s="9"/>
      <c r="C20" s="11"/>
      <c r="D20" s="10"/>
      <c r="E20" s="17"/>
      <c r="F20" s="17"/>
      <c r="G20" s="17"/>
      <c r="H20" s="17"/>
      <c r="I20" s="73"/>
      <c r="J20" s="18"/>
    </row>
    <row r="21" spans="1:12" x14ac:dyDescent="0.35">
      <c r="A21" s="169">
        <f t="shared" si="0"/>
        <v>10</v>
      </c>
      <c r="B21" s="9"/>
      <c r="C21" s="11"/>
      <c r="D21" s="10"/>
      <c r="E21" s="17"/>
      <c r="F21" s="19">
        <f>E21*$C21</f>
        <v>0</v>
      </c>
      <c r="G21" s="17"/>
      <c r="H21" s="19">
        <f>G21*$C21</f>
        <v>0</v>
      </c>
      <c r="I21" s="73"/>
      <c r="J21" s="15">
        <f>I21*$C21</f>
        <v>0</v>
      </c>
    </row>
    <row r="22" spans="1:12" x14ac:dyDescent="0.35">
      <c r="A22" s="169">
        <f t="shared" si="0"/>
        <v>11</v>
      </c>
      <c r="B22" s="9"/>
      <c r="C22" s="11"/>
      <c r="D22" s="10"/>
      <c r="E22" s="17"/>
      <c r="F22" s="20" t="s">
        <v>6</v>
      </c>
      <c r="G22" s="17"/>
      <c r="H22" s="20" t="s">
        <v>6</v>
      </c>
      <c r="I22" s="73"/>
      <c r="J22" s="20" t="s">
        <v>6</v>
      </c>
    </row>
    <row r="23" spans="1:12" x14ac:dyDescent="0.35">
      <c r="A23" s="169">
        <f t="shared" si="0"/>
        <v>12</v>
      </c>
      <c r="B23" s="13" t="str">
        <f>"Subtotal " &amp; B19</f>
        <v>Subtotal 02-00-00 Existing Conditions</v>
      </c>
      <c r="C23" s="11"/>
      <c r="D23" s="10"/>
      <c r="E23" s="17"/>
      <c r="F23" s="15">
        <f>SUM(F19:F22)</f>
        <v>0</v>
      </c>
      <c r="G23" s="17"/>
      <c r="H23" s="15">
        <f>SUM(H19:H22)</f>
        <v>0</v>
      </c>
      <c r="I23" s="73"/>
      <c r="J23" s="15">
        <f>SUM(J19:J22)</f>
        <v>0</v>
      </c>
    </row>
    <row r="24" spans="1:12" x14ac:dyDescent="0.35">
      <c r="A24" s="169">
        <f t="shared" si="0"/>
        <v>13</v>
      </c>
      <c r="B24" s="13"/>
      <c r="C24" s="11"/>
      <c r="D24" s="10"/>
      <c r="E24" s="17"/>
      <c r="F24" s="15"/>
      <c r="G24" s="17"/>
      <c r="H24" s="15"/>
      <c r="I24" s="73"/>
      <c r="J24" s="15"/>
    </row>
    <row r="25" spans="1:12" x14ac:dyDescent="0.35">
      <c r="A25" s="168">
        <f t="shared" si="0"/>
        <v>14</v>
      </c>
      <c r="B25" s="62" t="s">
        <v>39</v>
      </c>
      <c r="C25" s="65"/>
      <c r="D25" s="63"/>
      <c r="E25" s="64"/>
      <c r="F25" s="64"/>
      <c r="G25" s="64"/>
      <c r="H25" s="64"/>
      <c r="I25" s="74"/>
      <c r="J25" s="42"/>
    </row>
    <row r="26" spans="1:12" ht="27" x14ac:dyDescent="0.35">
      <c r="A26" s="169">
        <f t="shared" si="0"/>
        <v>15</v>
      </c>
      <c r="B26" s="147" t="s">
        <v>304</v>
      </c>
      <c r="C26" s="11"/>
      <c r="D26" s="10"/>
      <c r="E26" s="17"/>
      <c r="F26" s="15"/>
      <c r="G26" s="17"/>
      <c r="H26" s="15"/>
      <c r="I26" s="73"/>
      <c r="J26" s="15"/>
      <c r="L26" s="129" t="s">
        <v>305</v>
      </c>
    </row>
    <row r="27" spans="1:12" x14ac:dyDescent="0.35">
      <c r="A27" s="169">
        <f t="shared" ref="A27:A48" si="1">ROW()-11</f>
        <v>16</v>
      </c>
      <c r="B27" s="13"/>
      <c r="C27" s="11"/>
      <c r="D27" s="10"/>
      <c r="E27" s="17"/>
      <c r="F27" s="15"/>
      <c r="G27" s="17"/>
      <c r="H27" s="15"/>
      <c r="I27" s="73"/>
      <c r="J27" s="15"/>
      <c r="L27" s="129"/>
    </row>
    <row r="28" spans="1:12" x14ac:dyDescent="0.35">
      <c r="A28" s="169">
        <f t="shared" si="1"/>
        <v>17</v>
      </c>
      <c r="B28" s="121" t="s">
        <v>288</v>
      </c>
      <c r="C28" s="11"/>
      <c r="D28" s="10"/>
      <c r="E28" s="17"/>
      <c r="F28" s="15"/>
      <c r="G28" s="17"/>
      <c r="H28" s="15"/>
      <c r="I28" s="73"/>
      <c r="J28" s="15"/>
      <c r="L28" s="129"/>
    </row>
    <row r="29" spans="1:12" ht="27" x14ac:dyDescent="0.35">
      <c r="A29" s="169">
        <f t="shared" si="1"/>
        <v>18</v>
      </c>
      <c r="B29" s="139" t="s">
        <v>306</v>
      </c>
      <c r="C29" s="130">
        <f>11.7*1.075</f>
        <v>12.577499999999999</v>
      </c>
      <c r="D29" s="131" t="s">
        <v>89</v>
      </c>
      <c r="E29" s="132">
        <v>0</v>
      </c>
      <c r="F29" s="133">
        <f>E29*$C29</f>
        <v>0</v>
      </c>
      <c r="G29" s="132">
        <f>-(1400+460)</f>
        <v>-1860</v>
      </c>
      <c r="H29" s="133">
        <f>G29*$C29</f>
        <v>-23394.149999999998</v>
      </c>
      <c r="I29" s="132">
        <f>-(1400+460)</f>
        <v>-1860</v>
      </c>
      <c r="J29" s="126">
        <f>I29*$C29</f>
        <v>-23394.149999999998</v>
      </c>
      <c r="L29" s="129" t="s">
        <v>305</v>
      </c>
    </row>
    <row r="30" spans="1:12" x14ac:dyDescent="0.35">
      <c r="A30" s="169">
        <f t="shared" si="1"/>
        <v>19</v>
      </c>
      <c r="B30" s="140"/>
      <c r="C30" s="128"/>
      <c r="D30" s="10"/>
      <c r="E30" s="17"/>
      <c r="F30" s="19"/>
      <c r="G30" s="17"/>
      <c r="H30" s="19"/>
      <c r="I30" s="73"/>
      <c r="J30" s="15"/>
      <c r="L30" s="129"/>
    </row>
    <row r="31" spans="1:12" ht="27" x14ac:dyDescent="0.35">
      <c r="A31" s="169">
        <f t="shared" si="1"/>
        <v>20</v>
      </c>
      <c r="B31" s="141" t="s">
        <v>307</v>
      </c>
      <c r="C31" s="130">
        <f>9.36*1.075</f>
        <v>10.061999999999999</v>
      </c>
      <c r="D31" s="131" t="s">
        <v>89</v>
      </c>
      <c r="E31" s="132">
        <v>0</v>
      </c>
      <c r="F31" s="133">
        <f>E31*$C31</f>
        <v>0</v>
      </c>
      <c r="G31" s="134">
        <f>-(820+460)</f>
        <v>-1280</v>
      </c>
      <c r="H31" s="133">
        <f>G31*$C31</f>
        <v>-12879.359999999999</v>
      </c>
      <c r="I31" s="134">
        <f>-(820+460)</f>
        <v>-1280</v>
      </c>
      <c r="J31" s="126">
        <f>I31*$C31</f>
        <v>-12879.359999999999</v>
      </c>
      <c r="L31" s="129" t="s">
        <v>305</v>
      </c>
    </row>
    <row r="32" spans="1:12" x14ac:dyDescent="0.35">
      <c r="A32" s="169">
        <f t="shared" si="1"/>
        <v>21</v>
      </c>
      <c r="B32" s="140"/>
      <c r="C32" s="128"/>
      <c r="D32" s="10"/>
      <c r="E32" s="17"/>
      <c r="F32" s="19"/>
      <c r="G32" s="17"/>
      <c r="H32" s="19"/>
      <c r="I32" s="73"/>
      <c r="J32" s="15"/>
      <c r="L32" s="129"/>
    </row>
    <row r="33" spans="1:12" ht="27" x14ac:dyDescent="0.35">
      <c r="A33" s="169">
        <f t="shared" si="1"/>
        <v>22</v>
      </c>
      <c r="B33" s="139" t="s">
        <v>308</v>
      </c>
      <c r="C33" s="130">
        <f>1172*1.075</f>
        <v>1259.8999999999999</v>
      </c>
      <c r="D33" s="131" t="s">
        <v>292</v>
      </c>
      <c r="E33" s="132">
        <v>0</v>
      </c>
      <c r="F33" s="133">
        <f>E33*$C33</f>
        <v>0</v>
      </c>
      <c r="G33" s="134">
        <f>(-236*16*1)/27+(174*16*1)/27</f>
        <v>-36.740740740740733</v>
      </c>
      <c r="H33" s="135">
        <f>G33*$C33</f>
        <v>-46289.659259259242</v>
      </c>
      <c r="I33" s="134">
        <f>(-236*16*1)/27+(174*16*1)/27</f>
        <v>-36.740740740740733</v>
      </c>
      <c r="J33" s="126">
        <f>I33*$C33</f>
        <v>-46289.659259259242</v>
      </c>
      <c r="L33" s="129" t="s">
        <v>305</v>
      </c>
    </row>
    <row r="34" spans="1:12" x14ac:dyDescent="0.35">
      <c r="A34" s="169">
        <f t="shared" si="1"/>
        <v>23</v>
      </c>
      <c r="B34" s="139" t="s">
        <v>309</v>
      </c>
      <c r="C34" s="128"/>
      <c r="D34" s="10"/>
      <c r="E34" s="17"/>
      <c r="F34" s="19"/>
      <c r="G34" s="136"/>
      <c r="H34" s="137"/>
      <c r="I34" s="138"/>
      <c r="J34" s="15"/>
      <c r="L34" s="129"/>
    </row>
    <row r="35" spans="1:12" x14ac:dyDescent="0.35">
      <c r="A35" s="169">
        <f t="shared" si="1"/>
        <v>24</v>
      </c>
      <c r="B35" s="140"/>
      <c r="C35" s="128"/>
      <c r="D35" s="10"/>
      <c r="E35" s="17"/>
      <c r="F35" s="19"/>
      <c r="G35" s="17"/>
      <c r="H35" s="19"/>
      <c r="I35" s="73"/>
      <c r="J35" s="15"/>
      <c r="L35" s="129"/>
    </row>
    <row r="36" spans="1:12" ht="27" x14ac:dyDescent="0.35">
      <c r="A36" s="169">
        <f t="shared" si="1"/>
        <v>25</v>
      </c>
      <c r="B36" s="139" t="s">
        <v>310</v>
      </c>
      <c r="C36" s="130">
        <f>1290*1.075</f>
        <v>1386.75</v>
      </c>
      <c r="D36" s="131" t="s">
        <v>292</v>
      </c>
      <c r="E36" s="132">
        <v>0</v>
      </c>
      <c r="F36" s="133">
        <f>E36*$C36</f>
        <v>0</v>
      </c>
      <c r="G36" s="134">
        <v>-3</v>
      </c>
      <c r="H36" s="135">
        <f>G36*$C36</f>
        <v>-4160.25</v>
      </c>
      <c r="I36" s="134">
        <v>-3</v>
      </c>
      <c r="J36" s="126">
        <f>I36*$C36</f>
        <v>-4160.25</v>
      </c>
      <c r="L36" s="129" t="s">
        <v>305</v>
      </c>
    </row>
    <row r="37" spans="1:12" x14ac:dyDescent="0.35">
      <c r="A37" s="169">
        <f t="shared" si="1"/>
        <v>26</v>
      </c>
      <c r="B37" s="140" t="s">
        <v>311</v>
      </c>
      <c r="C37" s="128"/>
      <c r="D37" s="10"/>
      <c r="E37" s="17"/>
      <c r="F37" s="19"/>
      <c r="G37" s="136"/>
      <c r="H37" s="137"/>
      <c r="I37" s="138"/>
      <c r="J37" s="15"/>
      <c r="L37" s="129"/>
    </row>
    <row r="38" spans="1:12" x14ac:dyDescent="0.35">
      <c r="A38" s="169">
        <f t="shared" si="1"/>
        <v>27</v>
      </c>
      <c r="B38" s="140"/>
      <c r="C38" s="128"/>
      <c r="D38" s="10"/>
      <c r="E38" s="17"/>
      <c r="F38" s="19"/>
      <c r="G38" s="136"/>
      <c r="H38" s="137"/>
      <c r="I38" s="138"/>
      <c r="J38" s="15"/>
      <c r="L38" s="129"/>
    </row>
    <row r="39" spans="1:12" ht="27" x14ac:dyDescent="0.35">
      <c r="A39" s="169">
        <f t="shared" si="1"/>
        <v>28</v>
      </c>
      <c r="B39" s="139" t="s">
        <v>312</v>
      </c>
      <c r="C39" s="130">
        <f>936*1.075</f>
        <v>1006.1999999999999</v>
      </c>
      <c r="D39" s="131" t="s">
        <v>292</v>
      </c>
      <c r="E39" s="132">
        <v>0</v>
      </c>
      <c r="F39" s="133">
        <f>E39*$C39</f>
        <v>0</v>
      </c>
      <c r="G39" s="134">
        <f>(-236*2.5*1)/27+(174*2.5*1)/27</f>
        <v>-5.7407407407407405</v>
      </c>
      <c r="H39" s="135">
        <f>G39*$C39</f>
        <v>-5776.333333333333</v>
      </c>
      <c r="I39" s="134">
        <f>(-236*2.5*1)/27+(174*2.5*1)/27</f>
        <v>-5.7407407407407405</v>
      </c>
      <c r="J39" s="126">
        <f>I39*$C39</f>
        <v>-5776.333333333333</v>
      </c>
      <c r="L39" s="129" t="s">
        <v>305</v>
      </c>
    </row>
    <row r="40" spans="1:12" x14ac:dyDescent="0.35">
      <c r="A40" s="169">
        <f t="shared" si="1"/>
        <v>29</v>
      </c>
      <c r="B40" s="140" t="s">
        <v>313</v>
      </c>
      <c r="C40" s="128"/>
      <c r="D40" s="10"/>
      <c r="E40" s="17"/>
      <c r="F40" s="19"/>
      <c r="G40" s="17"/>
      <c r="H40" s="19"/>
      <c r="I40" s="73"/>
      <c r="J40" s="15"/>
      <c r="L40" s="129"/>
    </row>
    <row r="41" spans="1:12" x14ac:dyDescent="0.35">
      <c r="A41" s="169">
        <f t="shared" si="1"/>
        <v>30</v>
      </c>
      <c r="B41" s="13"/>
      <c r="C41" s="11"/>
      <c r="D41" s="10"/>
      <c r="E41" s="17"/>
      <c r="F41" s="15"/>
      <c r="G41" s="17"/>
      <c r="H41" s="15"/>
      <c r="I41" s="73"/>
      <c r="J41" s="15"/>
      <c r="L41" s="129"/>
    </row>
    <row r="42" spans="1:12" x14ac:dyDescent="0.35">
      <c r="A42" s="169">
        <f t="shared" si="1"/>
        <v>31</v>
      </c>
      <c r="B42" s="121" t="s">
        <v>286</v>
      </c>
      <c r="C42" s="11"/>
      <c r="D42" s="10"/>
      <c r="E42" s="17"/>
      <c r="F42" s="15"/>
      <c r="G42" s="17"/>
      <c r="H42" s="15"/>
      <c r="I42" s="73"/>
      <c r="J42" s="15"/>
      <c r="L42" s="129"/>
    </row>
    <row r="43" spans="1:12" x14ac:dyDescent="0.35">
      <c r="A43" s="169">
        <f t="shared" si="1"/>
        <v>32</v>
      </c>
      <c r="B43" s="13"/>
      <c r="C43" s="11"/>
      <c r="D43" s="10"/>
      <c r="E43" s="17"/>
      <c r="F43" s="15"/>
      <c r="G43" s="17"/>
      <c r="H43" s="15"/>
      <c r="I43" s="73"/>
      <c r="J43" s="15"/>
      <c r="L43" s="129"/>
    </row>
    <row r="44" spans="1:12" ht="40.5" x14ac:dyDescent="0.35">
      <c r="A44" s="169">
        <f t="shared" si="1"/>
        <v>33</v>
      </c>
      <c r="B44" s="141" t="s">
        <v>314</v>
      </c>
      <c r="C44" s="130">
        <f>11.7*1.075</f>
        <v>12.577499999999999</v>
      </c>
      <c r="D44" s="131" t="s">
        <v>89</v>
      </c>
      <c r="E44" s="132">
        <v>0</v>
      </c>
      <c r="F44" s="133">
        <f>E44*$C44</f>
        <v>0</v>
      </c>
      <c r="G44" s="132">
        <f>(1400+460)</f>
        <v>1860</v>
      </c>
      <c r="H44" s="133">
        <f>G44*$C44</f>
        <v>23394.149999999998</v>
      </c>
      <c r="I44" s="132">
        <f>(1400+460)</f>
        <v>1860</v>
      </c>
      <c r="J44" s="126">
        <f>I44*$C44</f>
        <v>23394.149999999998</v>
      </c>
      <c r="L44" s="129" t="s">
        <v>305</v>
      </c>
    </row>
    <row r="45" spans="1:12" x14ac:dyDescent="0.35">
      <c r="A45" s="169">
        <f t="shared" si="1"/>
        <v>34</v>
      </c>
      <c r="B45" s="140"/>
      <c r="C45" s="128"/>
      <c r="D45" s="10"/>
      <c r="E45" s="17"/>
      <c r="F45" s="19"/>
      <c r="G45" s="17"/>
      <c r="H45" s="19"/>
      <c r="I45" s="73"/>
      <c r="J45" s="15"/>
      <c r="L45" s="129"/>
    </row>
    <row r="46" spans="1:12" x14ac:dyDescent="0.35">
      <c r="A46" s="169">
        <f t="shared" si="1"/>
        <v>35</v>
      </c>
      <c r="B46" s="13" t="s">
        <v>88</v>
      </c>
      <c r="C46" s="250">
        <v>2463438.7400000002</v>
      </c>
      <c r="D46" s="10" t="s">
        <v>31</v>
      </c>
      <c r="E46" s="17">
        <v>1</v>
      </c>
      <c r="F46" s="19">
        <f>E46*$C46</f>
        <v>2463438.7400000002</v>
      </c>
      <c r="G46" s="17">
        <f>$E$46</f>
        <v>1</v>
      </c>
      <c r="H46" s="19">
        <f>G46*$C46</f>
        <v>2463438.7400000002</v>
      </c>
      <c r="I46" s="73">
        <v>1</v>
      </c>
      <c r="J46" s="15">
        <f>I46*$C46</f>
        <v>2463438.7400000002</v>
      </c>
    </row>
    <row r="47" spans="1:12" x14ac:dyDescent="0.35">
      <c r="A47" s="169">
        <f t="shared" si="1"/>
        <v>36</v>
      </c>
      <c r="B47" s="9"/>
      <c r="C47" s="11"/>
      <c r="D47" s="10"/>
      <c r="E47" s="17"/>
      <c r="F47" s="20" t="s">
        <v>6</v>
      </c>
      <c r="G47" s="17"/>
      <c r="H47" s="20" t="s">
        <v>6</v>
      </c>
      <c r="I47" s="73"/>
      <c r="J47" s="20" t="s">
        <v>6</v>
      </c>
    </row>
    <row r="48" spans="1:12" x14ac:dyDescent="0.35">
      <c r="A48" s="169">
        <f t="shared" si="1"/>
        <v>37</v>
      </c>
      <c r="B48" s="13" t="str">
        <f>"Subtotal " &amp; B25</f>
        <v>Subtotal 03-00-00 Concrete</v>
      </c>
      <c r="C48" s="11"/>
      <c r="D48" s="10"/>
      <c r="E48" s="17"/>
      <c r="F48" s="15">
        <f>SUM(F25:F47)</f>
        <v>2463438.7400000002</v>
      </c>
      <c r="G48" s="17"/>
      <c r="H48" s="15">
        <f>SUM(H25:H47)</f>
        <v>2394333.1374074076</v>
      </c>
      <c r="I48" s="73"/>
      <c r="J48" s="15">
        <f>SUM(J25:J47)</f>
        <v>2394333.1374074076</v>
      </c>
    </row>
    <row r="49" spans="1:12" x14ac:dyDescent="0.35">
      <c r="A49" s="169">
        <f t="shared" ref="A49:A62" si="2">ROW()-11</f>
        <v>38</v>
      </c>
      <c r="B49" s="13"/>
      <c r="C49" s="11"/>
      <c r="D49" s="10"/>
      <c r="E49" s="17"/>
      <c r="F49" s="15"/>
      <c r="G49" s="17"/>
      <c r="H49" s="15"/>
      <c r="I49" s="73"/>
      <c r="J49" s="15"/>
    </row>
    <row r="50" spans="1:12" x14ac:dyDescent="0.35">
      <c r="A50" s="168">
        <f t="shared" si="2"/>
        <v>39</v>
      </c>
      <c r="B50" s="62" t="s">
        <v>40</v>
      </c>
      <c r="C50" s="65"/>
      <c r="D50" s="63"/>
      <c r="E50" s="64"/>
      <c r="F50" s="64"/>
      <c r="G50" s="64"/>
      <c r="H50" s="64"/>
      <c r="I50" s="74"/>
      <c r="J50" s="42"/>
    </row>
    <row r="51" spans="1:12" x14ac:dyDescent="0.35">
      <c r="A51" s="169">
        <f t="shared" si="2"/>
        <v>40</v>
      </c>
      <c r="B51" s="9"/>
      <c r="C51" s="11"/>
      <c r="D51" s="10"/>
      <c r="E51" s="17"/>
      <c r="F51" s="17"/>
      <c r="G51" s="17"/>
      <c r="H51" s="17"/>
      <c r="I51" s="73"/>
      <c r="J51" s="18"/>
    </row>
    <row r="52" spans="1:12" x14ac:dyDescent="0.35">
      <c r="A52" s="169">
        <f t="shared" si="2"/>
        <v>41</v>
      </c>
      <c r="B52" s="13" t="s">
        <v>90</v>
      </c>
      <c r="C52" s="11">
        <v>16.579999999999998</v>
      </c>
      <c r="D52" s="10" t="s">
        <v>89</v>
      </c>
      <c r="E52" s="17">
        <f>$E$8</f>
        <v>49847</v>
      </c>
      <c r="F52" s="19">
        <f>E52*$C52</f>
        <v>826463.25999999989</v>
      </c>
      <c r="G52" s="17">
        <f>G8</f>
        <v>48567</v>
      </c>
      <c r="H52" s="19">
        <f>G52*$C52</f>
        <v>805240.85999999987</v>
      </c>
      <c r="I52" s="73">
        <f>$I$8</f>
        <v>48567</v>
      </c>
      <c r="J52" s="15">
        <f>I52*$C52</f>
        <v>805240.85999999987</v>
      </c>
    </row>
    <row r="53" spans="1:12" x14ac:dyDescent="0.35">
      <c r="A53" s="169">
        <f t="shared" si="2"/>
        <v>42</v>
      </c>
      <c r="B53" s="9"/>
      <c r="C53" s="11"/>
      <c r="D53" s="10"/>
      <c r="E53" s="17"/>
      <c r="F53" s="20" t="s">
        <v>6</v>
      </c>
      <c r="G53" s="17"/>
      <c r="H53" s="20" t="s">
        <v>6</v>
      </c>
      <c r="I53" s="73"/>
      <c r="J53" s="20" t="s">
        <v>6</v>
      </c>
    </row>
    <row r="54" spans="1:12" x14ac:dyDescent="0.35">
      <c r="A54" s="169">
        <f t="shared" si="2"/>
        <v>43</v>
      </c>
      <c r="B54" s="13" t="str">
        <f>"Subtotal " &amp; B50</f>
        <v>Subtotal 04-00-00 Masonry</v>
      </c>
      <c r="C54" s="11"/>
      <c r="D54" s="10"/>
      <c r="E54" s="17"/>
      <c r="F54" s="15">
        <f>SUM(F50:F53)</f>
        <v>826463.25999999989</v>
      </c>
      <c r="G54" s="17"/>
      <c r="H54" s="15">
        <f>SUM(H50:H53)</f>
        <v>805240.85999999987</v>
      </c>
      <c r="I54" s="73"/>
      <c r="J54" s="15">
        <f>SUM(J50:J53)</f>
        <v>805240.85999999987</v>
      </c>
    </row>
    <row r="55" spans="1:12" x14ac:dyDescent="0.35">
      <c r="A55" s="169">
        <f t="shared" si="2"/>
        <v>44</v>
      </c>
      <c r="B55" s="13"/>
      <c r="C55" s="11"/>
      <c r="D55" s="10"/>
      <c r="E55" s="17"/>
      <c r="F55" s="15"/>
      <c r="G55" s="17"/>
      <c r="H55" s="15"/>
      <c r="I55" s="73"/>
      <c r="J55" s="15"/>
    </row>
    <row r="56" spans="1:12" x14ac:dyDescent="0.35">
      <c r="A56" s="168">
        <f t="shared" si="2"/>
        <v>45</v>
      </c>
      <c r="B56" s="62" t="s">
        <v>41</v>
      </c>
      <c r="C56" s="65"/>
      <c r="D56" s="63"/>
      <c r="E56" s="64"/>
      <c r="F56" s="64"/>
      <c r="G56" s="64"/>
      <c r="H56" s="64"/>
      <c r="I56" s="74"/>
      <c r="J56" s="42"/>
    </row>
    <row r="57" spans="1:12" x14ac:dyDescent="0.35">
      <c r="A57" s="169">
        <f t="shared" si="2"/>
        <v>46</v>
      </c>
      <c r="B57" s="9"/>
      <c r="C57" s="11"/>
      <c r="D57" s="10"/>
      <c r="E57" s="17"/>
      <c r="F57" s="17"/>
      <c r="G57" s="17"/>
      <c r="H57" s="17"/>
      <c r="I57" s="73"/>
      <c r="J57" s="18"/>
    </row>
    <row r="58" spans="1:12" x14ac:dyDescent="0.35">
      <c r="A58" s="169">
        <f t="shared" si="2"/>
        <v>47</v>
      </c>
      <c r="B58" s="9"/>
      <c r="C58" s="11"/>
      <c r="D58" s="10"/>
      <c r="E58" s="17"/>
      <c r="F58" s="17"/>
      <c r="G58" s="17"/>
      <c r="H58" s="17"/>
      <c r="I58" s="73"/>
      <c r="J58" s="18"/>
      <c r="L58" s="129"/>
    </row>
    <row r="59" spans="1:12" ht="27" x14ac:dyDescent="0.35">
      <c r="A59" s="169">
        <f t="shared" si="2"/>
        <v>48</v>
      </c>
      <c r="B59" s="147" t="s">
        <v>315</v>
      </c>
      <c r="C59" s="11"/>
      <c r="D59" s="10"/>
      <c r="E59" s="17"/>
      <c r="F59" s="15"/>
      <c r="G59" s="17"/>
      <c r="H59" s="15"/>
      <c r="I59" s="73"/>
      <c r="J59" s="15"/>
      <c r="L59" s="129" t="s">
        <v>305</v>
      </c>
    </row>
    <row r="60" spans="1:12" x14ac:dyDescent="0.35">
      <c r="A60" s="169">
        <f t="shared" si="2"/>
        <v>49</v>
      </c>
      <c r="B60" s="13"/>
      <c r="C60" s="11"/>
      <c r="D60" s="10"/>
      <c r="E60" s="17"/>
      <c r="F60" s="15"/>
      <c r="G60" s="17"/>
      <c r="H60" s="15"/>
      <c r="I60" s="73"/>
      <c r="J60" s="15"/>
      <c r="L60" s="129"/>
    </row>
    <row r="61" spans="1:12" x14ac:dyDescent="0.35">
      <c r="A61" s="169">
        <f t="shared" si="2"/>
        <v>50</v>
      </c>
      <c r="B61" s="147" t="s">
        <v>288</v>
      </c>
      <c r="C61" s="11"/>
      <c r="D61" s="10"/>
      <c r="E61" s="17"/>
      <c r="F61" s="15"/>
      <c r="G61" s="17"/>
      <c r="H61" s="134"/>
      <c r="I61" s="73"/>
      <c r="J61" s="15"/>
      <c r="L61" s="129"/>
    </row>
    <row r="62" spans="1:12" ht="27" x14ac:dyDescent="0.35">
      <c r="A62" s="169">
        <f t="shared" si="2"/>
        <v>51</v>
      </c>
      <c r="B62" s="139" t="s">
        <v>316</v>
      </c>
      <c r="C62" s="130">
        <f>6000*1.075</f>
        <v>6450</v>
      </c>
      <c r="D62" s="131" t="s">
        <v>302</v>
      </c>
      <c r="E62" s="134">
        <v>0</v>
      </c>
      <c r="F62" s="135">
        <f>E62*$C62</f>
        <v>0</v>
      </c>
      <c r="G62" s="134">
        <v>-16</v>
      </c>
      <c r="H62" s="135">
        <f>G62*$C62</f>
        <v>-103200</v>
      </c>
      <c r="I62" s="134">
        <v>-16</v>
      </c>
      <c r="J62" s="126">
        <f>I62*$C62</f>
        <v>-103200</v>
      </c>
      <c r="L62" s="129" t="s">
        <v>305</v>
      </c>
    </row>
    <row r="63" spans="1:12" x14ac:dyDescent="0.35">
      <c r="A63" s="169"/>
      <c r="B63" s="140"/>
      <c r="C63" s="128"/>
      <c r="D63" s="10"/>
      <c r="E63" s="136"/>
      <c r="F63" s="137"/>
      <c r="G63" s="136"/>
      <c r="H63" s="137"/>
      <c r="I63" s="138"/>
      <c r="J63" s="15"/>
      <c r="L63" s="129"/>
    </row>
    <row r="64" spans="1:12" ht="31.8" customHeight="1" x14ac:dyDescent="0.35">
      <c r="A64" s="169">
        <f>ROW()-11</f>
        <v>53</v>
      </c>
      <c r="B64" s="141" t="s">
        <v>317</v>
      </c>
      <c r="C64" s="130">
        <f>416*1.075</f>
        <v>447.2</v>
      </c>
      <c r="D64" s="131" t="s">
        <v>302</v>
      </c>
      <c r="E64" s="134">
        <v>0</v>
      </c>
      <c r="F64" s="135">
        <f>E64*$C64</f>
        <v>0</v>
      </c>
      <c r="G64" s="134">
        <v>-16</v>
      </c>
      <c r="H64" s="135">
        <f>G64*$C64</f>
        <v>-7155.2</v>
      </c>
      <c r="I64" s="134">
        <v>-16</v>
      </c>
      <c r="J64" s="126">
        <f>I64*$C64</f>
        <v>-7155.2</v>
      </c>
      <c r="L64" s="129" t="s">
        <v>305</v>
      </c>
    </row>
    <row r="65" spans="1:12" x14ac:dyDescent="0.35">
      <c r="A65" s="169"/>
      <c r="B65" s="140"/>
      <c r="C65" s="128"/>
      <c r="D65" s="10"/>
      <c r="E65" s="136"/>
      <c r="F65" s="137"/>
      <c r="G65" s="136"/>
      <c r="H65" s="137"/>
      <c r="I65" s="138"/>
      <c r="J65" s="15"/>
      <c r="L65" s="129"/>
    </row>
    <row r="66" spans="1:12" ht="27" x14ac:dyDescent="0.35">
      <c r="A66" s="169">
        <f t="shared" ref="A66:A78" si="3">ROW()-11</f>
        <v>55</v>
      </c>
      <c r="B66" s="142" t="s">
        <v>318</v>
      </c>
      <c r="C66" s="130">
        <f>6.24*1.075</f>
        <v>6.7080000000000002</v>
      </c>
      <c r="D66" s="131" t="s">
        <v>89</v>
      </c>
      <c r="E66" s="134">
        <v>0</v>
      </c>
      <c r="F66" s="135">
        <f>E66*$C66</f>
        <v>0</v>
      </c>
      <c r="G66" s="134">
        <f>-(820+460)</f>
        <v>-1280</v>
      </c>
      <c r="H66" s="135">
        <f>G66*$C66</f>
        <v>-8586.24</v>
      </c>
      <c r="I66" s="134">
        <f>-(820+460)</f>
        <v>-1280</v>
      </c>
      <c r="J66" s="126">
        <f>I66*$C66</f>
        <v>-8586.24</v>
      </c>
      <c r="L66" s="129" t="s">
        <v>305</v>
      </c>
    </row>
    <row r="67" spans="1:12" x14ac:dyDescent="0.35">
      <c r="A67" s="169">
        <f t="shared" si="3"/>
        <v>56</v>
      </c>
      <c r="B67" s="9"/>
      <c r="C67" s="128"/>
      <c r="D67" s="10"/>
      <c r="E67" s="17"/>
      <c r="F67" s="17"/>
      <c r="G67" s="17"/>
      <c r="H67" s="17"/>
      <c r="I67" s="73"/>
      <c r="J67" s="18"/>
      <c r="L67" s="129"/>
    </row>
    <row r="68" spans="1:12" x14ac:dyDescent="0.35">
      <c r="A68" s="169">
        <f t="shared" si="3"/>
        <v>57</v>
      </c>
      <c r="B68" s="143" t="s">
        <v>319</v>
      </c>
      <c r="C68" s="128">
        <f>67.6*1.075</f>
        <v>72.669999999999987</v>
      </c>
      <c r="D68" s="10" t="s">
        <v>89</v>
      </c>
      <c r="E68" s="17">
        <v>0</v>
      </c>
      <c r="F68" s="19">
        <f>E68*$C68</f>
        <v>0</v>
      </c>
      <c r="G68" s="17">
        <v>-440</v>
      </c>
      <c r="H68" s="19">
        <f>G68*$C68</f>
        <v>-31974.799999999996</v>
      </c>
      <c r="I68" s="73">
        <v>-440</v>
      </c>
      <c r="J68" s="15">
        <f>I68*$C68</f>
        <v>-31974.799999999996</v>
      </c>
      <c r="L68" s="129" t="s">
        <v>305</v>
      </c>
    </row>
    <row r="69" spans="1:12" x14ac:dyDescent="0.35">
      <c r="A69" s="169">
        <f t="shared" si="3"/>
        <v>58</v>
      </c>
      <c r="B69" s="9"/>
      <c r="C69" s="128"/>
      <c r="D69" s="10"/>
      <c r="E69" s="17"/>
      <c r="F69" s="17"/>
      <c r="G69" s="17"/>
      <c r="H69" s="17"/>
      <c r="I69" s="73"/>
      <c r="J69" s="18"/>
      <c r="L69" s="129"/>
    </row>
    <row r="70" spans="1:12" ht="27" x14ac:dyDescent="0.35">
      <c r="A70" s="169">
        <f t="shared" si="3"/>
        <v>59</v>
      </c>
      <c r="B70" s="144" t="s">
        <v>320</v>
      </c>
      <c r="C70" s="130">
        <f>3.12*1.075</f>
        <v>3.3540000000000001</v>
      </c>
      <c r="D70" s="131" t="s">
        <v>321</v>
      </c>
      <c r="E70" s="132">
        <v>0</v>
      </c>
      <c r="F70" s="133">
        <f>E70*$C70</f>
        <v>0</v>
      </c>
      <c r="G70" s="132">
        <f>-(440*5)</f>
        <v>-2200</v>
      </c>
      <c r="H70" s="133">
        <f>G70*$C70</f>
        <v>-7378.8</v>
      </c>
      <c r="I70" s="132">
        <f>-(440*5)</f>
        <v>-2200</v>
      </c>
      <c r="J70" s="126">
        <f>I70*$C70</f>
        <v>-7378.8</v>
      </c>
      <c r="L70" s="129" t="s">
        <v>305</v>
      </c>
    </row>
    <row r="71" spans="1:12" x14ac:dyDescent="0.35">
      <c r="A71" s="169">
        <f t="shared" si="3"/>
        <v>60</v>
      </c>
      <c r="B71" s="9"/>
      <c r="C71" s="128"/>
      <c r="D71" s="10"/>
      <c r="E71" s="17"/>
      <c r="F71" s="17"/>
      <c r="G71" s="17"/>
      <c r="H71" s="17"/>
      <c r="I71" s="73"/>
      <c r="J71" s="18"/>
      <c r="L71" s="129"/>
    </row>
    <row r="72" spans="1:12" x14ac:dyDescent="0.35">
      <c r="A72" s="169">
        <f t="shared" si="3"/>
        <v>61</v>
      </c>
      <c r="B72" s="143" t="s">
        <v>322</v>
      </c>
      <c r="C72" s="128">
        <f>2080*1.075</f>
        <v>2236</v>
      </c>
      <c r="D72" s="10" t="s">
        <v>290</v>
      </c>
      <c r="E72" s="17">
        <v>0</v>
      </c>
      <c r="F72" s="19">
        <f>E72*$C72</f>
        <v>0</v>
      </c>
      <c r="G72" s="17">
        <v>-1</v>
      </c>
      <c r="H72" s="19">
        <f>G72*$C72</f>
        <v>-2236</v>
      </c>
      <c r="I72" s="73">
        <v>-1</v>
      </c>
      <c r="J72" s="15">
        <f>I72*$C72</f>
        <v>-2236</v>
      </c>
      <c r="L72" s="129" t="s">
        <v>305</v>
      </c>
    </row>
    <row r="73" spans="1:12" x14ac:dyDescent="0.35">
      <c r="A73" s="169">
        <f t="shared" si="3"/>
        <v>62</v>
      </c>
      <c r="B73" s="9"/>
      <c r="C73" s="11"/>
      <c r="D73" s="10"/>
      <c r="E73" s="17"/>
      <c r="F73" s="17"/>
      <c r="G73" s="17"/>
      <c r="H73" s="17"/>
      <c r="I73" s="73"/>
      <c r="J73" s="18"/>
      <c r="L73" s="129"/>
    </row>
    <row r="74" spans="1:12" ht="27" x14ac:dyDescent="0.35">
      <c r="A74" s="169">
        <f t="shared" si="3"/>
        <v>63</v>
      </c>
      <c r="B74" s="144" t="s">
        <v>323</v>
      </c>
      <c r="C74" s="130">
        <f>3.12*1.075</f>
        <v>3.3540000000000001</v>
      </c>
      <c r="D74" s="131" t="s">
        <v>321</v>
      </c>
      <c r="E74" s="132">
        <v>0</v>
      </c>
      <c r="F74" s="133">
        <f>E74*$C74</f>
        <v>0</v>
      </c>
      <c r="G74" s="132">
        <v>0</v>
      </c>
      <c r="H74" s="133">
        <f>G74*$C74</f>
        <v>0</v>
      </c>
      <c r="I74" s="132">
        <f>-(21*13*20)</f>
        <v>-5460</v>
      </c>
      <c r="J74" s="126">
        <f>I74*$C74</f>
        <v>-18312.84</v>
      </c>
      <c r="L74" s="129" t="s">
        <v>305</v>
      </c>
    </row>
    <row r="75" spans="1:12" x14ac:dyDescent="0.35">
      <c r="A75" s="169">
        <f t="shared" si="3"/>
        <v>64</v>
      </c>
      <c r="B75" s="145" t="s">
        <v>324</v>
      </c>
      <c r="C75" s="11"/>
      <c r="D75" s="10"/>
      <c r="E75" s="17"/>
      <c r="F75" s="17"/>
      <c r="G75" s="17"/>
      <c r="H75" s="17"/>
      <c r="I75" s="73"/>
      <c r="J75" s="18"/>
      <c r="L75" s="129"/>
    </row>
    <row r="76" spans="1:12" x14ac:dyDescent="0.35">
      <c r="A76" s="169">
        <f t="shared" si="3"/>
        <v>65</v>
      </c>
      <c r="B76" s="13"/>
      <c r="C76" s="11"/>
      <c r="D76" s="10"/>
      <c r="E76" s="17"/>
      <c r="F76" s="15"/>
      <c r="G76" s="17"/>
      <c r="H76" s="15"/>
      <c r="I76" s="73"/>
      <c r="J76" s="15"/>
      <c r="L76" s="129"/>
    </row>
    <row r="77" spans="1:12" x14ac:dyDescent="0.35">
      <c r="A77" s="169">
        <f t="shared" si="3"/>
        <v>66</v>
      </c>
      <c r="B77" s="147" t="s">
        <v>286</v>
      </c>
      <c r="C77" s="11"/>
      <c r="D77" s="10"/>
      <c r="E77" s="17"/>
      <c r="F77" s="15"/>
      <c r="G77" s="17"/>
      <c r="H77" s="134"/>
      <c r="I77" s="73"/>
      <c r="J77" s="15"/>
      <c r="L77" s="129"/>
    </row>
    <row r="78" spans="1:12" ht="40.5" x14ac:dyDescent="0.35">
      <c r="A78" s="169">
        <f t="shared" si="3"/>
        <v>67</v>
      </c>
      <c r="B78" s="139" t="s">
        <v>325</v>
      </c>
      <c r="C78" s="130">
        <f>6000*1.075</f>
        <v>6450</v>
      </c>
      <c r="D78" s="131" t="s">
        <v>302</v>
      </c>
      <c r="E78" s="134">
        <v>0</v>
      </c>
      <c r="F78" s="135">
        <f>E78*$C78</f>
        <v>0</v>
      </c>
      <c r="G78" s="134">
        <v>2</v>
      </c>
      <c r="H78" s="135">
        <f>G78*$C78</f>
        <v>12900</v>
      </c>
      <c r="I78" s="134">
        <v>2</v>
      </c>
      <c r="J78" s="126">
        <f>I78*$C78</f>
        <v>12900</v>
      </c>
      <c r="L78" s="129" t="s">
        <v>305</v>
      </c>
    </row>
    <row r="79" spans="1:12" x14ac:dyDescent="0.35">
      <c r="A79" s="169"/>
      <c r="B79" s="140"/>
      <c r="C79" s="128"/>
      <c r="D79" s="10"/>
      <c r="E79" s="136"/>
      <c r="F79" s="137"/>
      <c r="G79" s="136"/>
      <c r="H79" s="137"/>
      <c r="I79" s="138"/>
      <c r="J79" s="15"/>
      <c r="L79" s="129"/>
    </row>
    <row r="80" spans="1:12" ht="21.6" customHeight="1" x14ac:dyDescent="0.35">
      <c r="A80" s="169">
        <f>ROW()-11</f>
        <v>69</v>
      </c>
      <c r="B80" s="141" t="s">
        <v>326</v>
      </c>
      <c r="C80" s="130">
        <f>416*1.075</f>
        <v>447.2</v>
      </c>
      <c r="D80" s="131" t="s">
        <v>302</v>
      </c>
      <c r="E80" s="134">
        <v>0</v>
      </c>
      <c r="F80" s="135">
        <f>E80*$C80</f>
        <v>0</v>
      </c>
      <c r="G80" s="134">
        <v>2</v>
      </c>
      <c r="H80" s="135">
        <f>G80*$C80</f>
        <v>894.4</v>
      </c>
      <c r="I80" s="134">
        <v>2</v>
      </c>
      <c r="J80" s="126">
        <f>I80*$C80</f>
        <v>894.4</v>
      </c>
      <c r="L80" s="129" t="s">
        <v>305</v>
      </c>
    </row>
    <row r="81" spans="1:12" x14ac:dyDescent="0.35">
      <c r="A81" s="169"/>
      <c r="B81" s="140"/>
      <c r="C81" s="128"/>
      <c r="D81" s="10"/>
      <c r="E81" s="136"/>
      <c r="F81" s="137"/>
      <c r="G81" s="136"/>
      <c r="H81" s="137"/>
      <c r="I81" s="138"/>
      <c r="J81" s="15"/>
      <c r="L81" s="129"/>
    </row>
    <row r="82" spans="1:12" ht="21.6" customHeight="1" x14ac:dyDescent="0.35">
      <c r="A82" s="169">
        <f>ROW()-11</f>
        <v>71</v>
      </c>
      <c r="B82" s="141" t="s">
        <v>327</v>
      </c>
      <c r="C82" s="130">
        <v>200</v>
      </c>
      <c r="D82" s="131" t="s">
        <v>302</v>
      </c>
      <c r="E82" s="134">
        <v>0</v>
      </c>
      <c r="F82" s="135">
        <f>E82*$C82</f>
        <v>0</v>
      </c>
      <c r="G82" s="134">
        <v>2</v>
      </c>
      <c r="H82" s="135">
        <f>G82*$C82</f>
        <v>400</v>
      </c>
      <c r="I82" s="134">
        <v>2</v>
      </c>
      <c r="J82" s="126">
        <f>I82*$C82</f>
        <v>400</v>
      </c>
      <c r="L82" s="129" t="s">
        <v>305</v>
      </c>
    </row>
    <row r="83" spans="1:12" x14ac:dyDescent="0.35">
      <c r="A83" s="169">
        <f>ROW()-11</f>
        <v>72</v>
      </c>
      <c r="B83" s="9"/>
      <c r="C83" s="11"/>
      <c r="D83" s="10"/>
      <c r="E83" s="17"/>
      <c r="F83" s="17"/>
      <c r="G83" s="17"/>
      <c r="H83" s="17"/>
      <c r="I83" s="73"/>
      <c r="J83" s="18"/>
      <c r="L83" s="129"/>
    </row>
    <row r="84" spans="1:12" ht="27" x14ac:dyDescent="0.35">
      <c r="A84" s="169">
        <f>ROW()-11</f>
        <v>73</v>
      </c>
      <c r="B84" s="144" t="s">
        <v>328</v>
      </c>
      <c r="C84" s="130">
        <f>3.12*1.075</f>
        <v>3.3540000000000001</v>
      </c>
      <c r="D84" s="131" t="s">
        <v>321</v>
      </c>
      <c r="E84" s="132">
        <v>0</v>
      </c>
      <c r="F84" s="133">
        <f>E84*$C84</f>
        <v>0</v>
      </c>
      <c r="G84" s="132">
        <f>(15*13*20)</f>
        <v>3900</v>
      </c>
      <c r="H84" s="133">
        <f>G84*$C84</f>
        <v>13080.6</v>
      </c>
      <c r="I84" s="132">
        <v>0</v>
      </c>
      <c r="J84" s="126">
        <f>I84*$C84</f>
        <v>0</v>
      </c>
      <c r="L84" s="129" t="s">
        <v>305</v>
      </c>
    </row>
    <row r="85" spans="1:12" x14ac:dyDescent="0.35">
      <c r="A85" s="169">
        <f>ROW()-11</f>
        <v>74</v>
      </c>
      <c r="B85" s="145" t="s">
        <v>329</v>
      </c>
      <c r="C85" s="11"/>
      <c r="D85" s="10"/>
      <c r="E85" s="17"/>
      <c r="F85" s="17"/>
      <c r="G85" s="17"/>
      <c r="H85" s="17"/>
      <c r="I85" s="73"/>
      <c r="J85" s="18"/>
      <c r="L85" s="129"/>
    </row>
    <row r="86" spans="1:12" x14ac:dyDescent="0.35">
      <c r="A86" s="169"/>
      <c r="B86" s="140"/>
      <c r="C86" s="128"/>
      <c r="D86" s="10"/>
      <c r="E86" s="136"/>
      <c r="F86" s="137"/>
      <c r="G86" s="136"/>
      <c r="H86" s="137"/>
      <c r="I86" s="138"/>
      <c r="J86" s="15"/>
      <c r="L86" s="129"/>
    </row>
    <row r="87" spans="1:12" ht="40.799999999999997" customHeight="1" x14ac:dyDescent="0.35">
      <c r="A87" s="169">
        <f t="shared" ref="A87:A150" si="4">ROW()-11</f>
        <v>76</v>
      </c>
      <c r="B87" s="141" t="s">
        <v>330</v>
      </c>
      <c r="C87" s="130">
        <v>25000</v>
      </c>
      <c r="D87" s="131" t="s">
        <v>31</v>
      </c>
      <c r="E87" s="134">
        <v>1</v>
      </c>
      <c r="F87" s="135">
        <f>E87*$C87</f>
        <v>25000</v>
      </c>
      <c r="G87" s="134"/>
      <c r="H87" s="135">
        <f>G87*$C87</f>
        <v>0</v>
      </c>
      <c r="I87" s="134"/>
      <c r="J87" s="126">
        <f>I87*$C87</f>
        <v>0</v>
      </c>
      <c r="L87" s="129" t="s">
        <v>305</v>
      </c>
    </row>
    <row r="88" spans="1:12" x14ac:dyDescent="0.35">
      <c r="A88" s="169">
        <f t="shared" si="4"/>
        <v>77</v>
      </c>
      <c r="B88" s="9"/>
      <c r="C88" s="11"/>
      <c r="D88" s="10"/>
      <c r="E88" s="17"/>
      <c r="F88" s="17"/>
      <c r="G88" s="17"/>
      <c r="H88" s="17"/>
      <c r="I88" s="73"/>
      <c r="J88" s="18"/>
      <c r="L88" s="129"/>
    </row>
    <row r="89" spans="1:12" x14ac:dyDescent="0.35">
      <c r="A89" s="169">
        <f t="shared" si="4"/>
        <v>78</v>
      </c>
      <c r="B89" s="13" t="s">
        <v>91</v>
      </c>
      <c r="C89" s="11">
        <v>4122196</v>
      </c>
      <c r="D89" s="10" t="s">
        <v>31</v>
      </c>
      <c r="E89" s="17">
        <v>1</v>
      </c>
      <c r="F89" s="19">
        <f>E89*$C89</f>
        <v>4122196</v>
      </c>
      <c r="G89" s="17">
        <v>1</v>
      </c>
      <c r="H89" s="19">
        <f>G89*$C89</f>
        <v>4122196</v>
      </c>
      <c r="I89" s="73">
        <v>1</v>
      </c>
      <c r="J89" s="15">
        <f>I89*$C89</f>
        <v>4122196</v>
      </c>
    </row>
    <row r="90" spans="1:12" x14ac:dyDescent="0.35">
      <c r="A90" s="169">
        <f t="shared" si="4"/>
        <v>79</v>
      </c>
      <c r="B90" s="9"/>
      <c r="C90" s="11"/>
      <c r="D90" s="10"/>
      <c r="E90" s="17"/>
      <c r="F90" s="20" t="s">
        <v>6</v>
      </c>
      <c r="G90" s="17"/>
      <c r="H90" s="20" t="s">
        <v>6</v>
      </c>
      <c r="I90" s="73"/>
      <c r="J90" s="20" t="s">
        <v>6</v>
      </c>
    </row>
    <row r="91" spans="1:12" x14ac:dyDescent="0.35">
      <c r="A91" s="169">
        <f t="shared" si="4"/>
        <v>80</v>
      </c>
      <c r="B91" s="13" t="str">
        <f>"Subtotal " &amp; B56</f>
        <v>Subtotal 05-00-00 Metals</v>
      </c>
      <c r="C91" s="11"/>
      <c r="D91" s="10"/>
      <c r="E91" s="17"/>
      <c r="F91" s="15">
        <f>SUM(F56:F90)</f>
        <v>4147196</v>
      </c>
      <c r="G91" s="17"/>
      <c r="H91" s="15">
        <f>SUM(H56:H90)</f>
        <v>3988939.96</v>
      </c>
      <c r="I91" s="73"/>
      <c r="J91" s="15">
        <f>SUM(J56:J90)</f>
        <v>3957546.52</v>
      </c>
    </row>
    <row r="92" spans="1:12" x14ac:dyDescent="0.35">
      <c r="A92" s="169">
        <f t="shared" si="4"/>
        <v>81</v>
      </c>
      <c r="B92" s="13"/>
      <c r="C92" s="11"/>
      <c r="D92" s="10"/>
      <c r="E92" s="17"/>
      <c r="F92" s="15"/>
      <c r="G92" s="17"/>
      <c r="H92" s="15"/>
      <c r="I92" s="73"/>
      <c r="J92" s="15"/>
    </row>
    <row r="93" spans="1:12" x14ac:dyDescent="0.35">
      <c r="A93" s="168">
        <f t="shared" si="4"/>
        <v>82</v>
      </c>
      <c r="B93" s="62" t="s">
        <v>42</v>
      </c>
      <c r="C93" s="65"/>
      <c r="D93" s="63"/>
      <c r="E93" s="64"/>
      <c r="F93" s="64"/>
      <c r="G93" s="64"/>
      <c r="H93" s="64"/>
      <c r="I93" s="74"/>
      <c r="J93" s="42"/>
    </row>
    <row r="94" spans="1:12" x14ac:dyDescent="0.35">
      <c r="A94" s="169">
        <f t="shared" si="4"/>
        <v>83</v>
      </c>
      <c r="B94" s="9"/>
      <c r="C94" s="11"/>
      <c r="D94" s="10"/>
      <c r="E94" s="17"/>
      <c r="F94" s="17"/>
      <c r="G94" s="17"/>
      <c r="H94" s="17"/>
      <c r="I94" s="73"/>
      <c r="J94" s="18"/>
    </row>
    <row r="95" spans="1:12" ht="27" x14ac:dyDescent="0.35">
      <c r="A95" s="169">
        <f t="shared" si="4"/>
        <v>84</v>
      </c>
      <c r="B95" s="147" t="s">
        <v>331</v>
      </c>
      <c r="C95" s="11"/>
      <c r="D95" s="10"/>
      <c r="E95" s="17"/>
      <c r="F95" s="15"/>
      <c r="G95" s="17"/>
      <c r="H95" s="15"/>
      <c r="I95" s="73"/>
      <c r="J95" s="15"/>
      <c r="L95" s="129" t="s">
        <v>305</v>
      </c>
    </row>
    <row r="96" spans="1:12" x14ac:dyDescent="0.35">
      <c r="A96" s="169">
        <f t="shared" si="4"/>
        <v>85</v>
      </c>
      <c r="B96" s="13"/>
      <c r="C96" s="11"/>
      <c r="D96" s="10"/>
      <c r="E96" s="17"/>
      <c r="F96" s="15"/>
      <c r="G96" s="17"/>
      <c r="H96" s="15"/>
      <c r="I96" s="73"/>
      <c r="J96" s="15"/>
      <c r="L96" s="129"/>
    </row>
    <row r="97" spans="1:12" x14ac:dyDescent="0.35">
      <c r="A97" s="169">
        <f t="shared" si="4"/>
        <v>86</v>
      </c>
      <c r="B97" s="147" t="s">
        <v>288</v>
      </c>
      <c r="C97" s="11"/>
      <c r="D97" s="10"/>
      <c r="E97" s="17"/>
      <c r="F97" s="15"/>
      <c r="G97" s="17"/>
      <c r="H97" s="15"/>
      <c r="I97" s="73"/>
      <c r="J97" s="15"/>
      <c r="L97" s="129"/>
    </row>
    <row r="98" spans="1:12" x14ac:dyDescent="0.35">
      <c r="A98" s="169">
        <f t="shared" si="4"/>
        <v>87</v>
      </c>
      <c r="B98" s="13" t="s">
        <v>92</v>
      </c>
      <c r="C98" s="11">
        <v>7.75</v>
      </c>
      <c r="D98" s="10" t="s">
        <v>89</v>
      </c>
      <c r="E98" s="17">
        <f>$E$8</f>
        <v>49847</v>
      </c>
      <c r="F98" s="19">
        <f>E98*$C98</f>
        <v>386314.25</v>
      </c>
      <c r="G98" s="17">
        <f>G8</f>
        <v>48567</v>
      </c>
      <c r="H98" s="19">
        <f>G98*$C98</f>
        <v>376394.25</v>
      </c>
      <c r="I98" s="73">
        <f>$I$8</f>
        <v>48567</v>
      </c>
      <c r="J98" s="15">
        <f>I98*$C98</f>
        <v>376394.25</v>
      </c>
    </row>
    <row r="99" spans="1:12" x14ac:dyDescent="0.35">
      <c r="A99" s="169">
        <f t="shared" si="4"/>
        <v>88</v>
      </c>
      <c r="B99" s="9"/>
      <c r="C99" s="11"/>
      <c r="D99" s="10"/>
      <c r="E99" s="17"/>
      <c r="F99" s="20" t="s">
        <v>6</v>
      </c>
      <c r="G99" s="17"/>
      <c r="H99" s="20" t="s">
        <v>6</v>
      </c>
      <c r="I99" s="73"/>
      <c r="J99" s="20" t="s">
        <v>6</v>
      </c>
    </row>
    <row r="100" spans="1:12" x14ac:dyDescent="0.35">
      <c r="A100" s="169">
        <f t="shared" si="4"/>
        <v>89</v>
      </c>
      <c r="B100" s="13" t="str">
        <f>"Subtotal " &amp; B93</f>
        <v>Subtotal 06-00-00 Wood, Plastics, &amp; Composites</v>
      </c>
      <c r="C100" s="11"/>
      <c r="D100" s="10"/>
      <c r="E100" s="17"/>
      <c r="F100" s="15">
        <f>SUM(F93:F99)</f>
        <v>386314.25</v>
      </c>
      <c r="G100" s="17"/>
      <c r="H100" s="15">
        <f>SUM(H93:H99)</f>
        <v>376394.25</v>
      </c>
      <c r="I100" s="73"/>
      <c r="J100" s="15">
        <f>SUM(J93:J99)</f>
        <v>376394.25</v>
      </c>
    </row>
    <row r="101" spans="1:12" x14ac:dyDescent="0.35">
      <c r="A101" s="169">
        <f t="shared" si="4"/>
        <v>90</v>
      </c>
      <c r="B101" s="13"/>
      <c r="C101" s="11"/>
      <c r="D101" s="10"/>
      <c r="E101" s="17"/>
      <c r="F101" s="15"/>
      <c r="G101" s="17"/>
      <c r="H101" s="15"/>
      <c r="I101" s="73"/>
      <c r="J101" s="15"/>
    </row>
    <row r="102" spans="1:12" x14ac:dyDescent="0.35">
      <c r="A102" s="168">
        <f t="shared" si="4"/>
        <v>91</v>
      </c>
      <c r="B102" s="62" t="s">
        <v>43</v>
      </c>
      <c r="C102" s="65"/>
      <c r="D102" s="63"/>
      <c r="E102" s="64"/>
      <c r="F102" s="64"/>
      <c r="G102" s="64"/>
      <c r="H102" s="64"/>
      <c r="I102" s="74"/>
      <c r="J102" s="42"/>
    </row>
    <row r="103" spans="1:12" x14ac:dyDescent="0.35">
      <c r="A103" s="169">
        <f t="shared" si="4"/>
        <v>92</v>
      </c>
      <c r="B103" s="9"/>
      <c r="C103" s="11"/>
      <c r="D103" s="10"/>
      <c r="E103" s="17"/>
      <c r="F103" s="17"/>
      <c r="G103" s="17"/>
      <c r="H103" s="17"/>
      <c r="I103" s="73"/>
      <c r="J103" s="18"/>
    </row>
    <row r="104" spans="1:12" ht="27" x14ac:dyDescent="0.35">
      <c r="A104" s="169">
        <f t="shared" si="4"/>
        <v>93</v>
      </c>
      <c r="B104" s="147" t="s">
        <v>331</v>
      </c>
      <c r="C104" s="11"/>
      <c r="D104" s="10"/>
      <c r="E104" s="17"/>
      <c r="F104" s="15"/>
      <c r="G104" s="17"/>
      <c r="H104" s="15"/>
      <c r="I104" s="73"/>
      <c r="J104" s="15"/>
      <c r="L104" s="129"/>
    </row>
    <row r="105" spans="1:12" x14ac:dyDescent="0.35">
      <c r="A105" s="169">
        <f t="shared" si="4"/>
        <v>94</v>
      </c>
      <c r="B105" s="13"/>
      <c r="C105" s="11"/>
      <c r="D105" s="10"/>
      <c r="E105" s="17"/>
      <c r="F105" s="15"/>
      <c r="G105" s="17"/>
      <c r="H105" s="15"/>
      <c r="I105" s="73"/>
      <c r="J105" s="15"/>
      <c r="L105" s="129"/>
    </row>
    <row r="106" spans="1:12" x14ac:dyDescent="0.35">
      <c r="A106" s="169">
        <f t="shared" si="4"/>
        <v>95</v>
      </c>
      <c r="B106" s="147" t="s">
        <v>288</v>
      </c>
      <c r="C106" s="11"/>
      <c r="D106" s="10"/>
      <c r="E106" s="17"/>
      <c r="F106" s="15"/>
      <c r="G106" s="17"/>
      <c r="H106" s="15"/>
      <c r="I106" s="73"/>
      <c r="J106" s="15"/>
      <c r="L106" s="129"/>
    </row>
    <row r="107" spans="1:12" ht="27" x14ac:dyDescent="0.35">
      <c r="A107" s="169">
        <f t="shared" si="4"/>
        <v>96</v>
      </c>
      <c r="B107" s="141" t="s">
        <v>332</v>
      </c>
      <c r="C107" s="130">
        <v>1.55</v>
      </c>
      <c r="D107" s="131" t="s">
        <v>89</v>
      </c>
      <c r="E107" s="132"/>
      <c r="F107" s="133">
        <f>E107*$C107</f>
        <v>0</v>
      </c>
      <c r="G107" s="134">
        <f>-(820+460)</f>
        <v>-1280</v>
      </c>
      <c r="H107" s="133">
        <f>G107*$C107</f>
        <v>-1984</v>
      </c>
      <c r="I107" s="134">
        <f>-(820+460)</f>
        <v>-1280</v>
      </c>
      <c r="J107" s="126">
        <f>I107*$C107</f>
        <v>-1984</v>
      </c>
      <c r="L107" s="129" t="s">
        <v>305</v>
      </c>
    </row>
    <row r="108" spans="1:12" x14ac:dyDescent="0.35">
      <c r="A108" s="169">
        <f t="shared" si="4"/>
        <v>97</v>
      </c>
      <c r="B108" s="13"/>
      <c r="C108" s="128"/>
      <c r="D108" s="10"/>
      <c r="E108" s="17"/>
      <c r="F108" s="17"/>
      <c r="G108" s="17"/>
      <c r="H108" s="17"/>
      <c r="I108" s="73"/>
      <c r="J108" s="18"/>
      <c r="L108" s="129"/>
    </row>
    <row r="109" spans="1:12" ht="27" x14ac:dyDescent="0.35">
      <c r="A109" s="169">
        <f t="shared" si="4"/>
        <v>98</v>
      </c>
      <c r="B109" s="141" t="s">
        <v>333</v>
      </c>
      <c r="C109" s="130">
        <v>1.4</v>
      </c>
      <c r="D109" s="131" t="s">
        <v>89</v>
      </c>
      <c r="E109" s="132"/>
      <c r="F109" s="133">
        <f>E109*$C109</f>
        <v>0</v>
      </c>
      <c r="G109" s="134">
        <f>-(820+460)</f>
        <v>-1280</v>
      </c>
      <c r="H109" s="133">
        <f>G109*$C109</f>
        <v>-1792</v>
      </c>
      <c r="I109" s="134">
        <f>-(820+460)</f>
        <v>-1280</v>
      </c>
      <c r="J109" s="126">
        <f>I109*$C109</f>
        <v>-1792</v>
      </c>
      <c r="L109" s="129" t="s">
        <v>305</v>
      </c>
    </row>
    <row r="110" spans="1:12" x14ac:dyDescent="0.35">
      <c r="A110" s="169">
        <f t="shared" si="4"/>
        <v>99</v>
      </c>
      <c r="B110" s="13"/>
      <c r="C110" s="128"/>
      <c r="D110" s="10"/>
      <c r="E110" s="17"/>
      <c r="F110" s="17"/>
      <c r="G110" s="17"/>
      <c r="H110" s="17"/>
      <c r="I110" s="73"/>
      <c r="J110" s="18"/>
      <c r="L110" s="129"/>
    </row>
    <row r="111" spans="1:12" ht="27" x14ac:dyDescent="0.35">
      <c r="A111" s="169">
        <f t="shared" si="4"/>
        <v>100</v>
      </c>
      <c r="B111" s="141" t="s">
        <v>334</v>
      </c>
      <c r="C111" s="130">
        <v>1.81</v>
      </c>
      <c r="D111" s="131" t="s">
        <v>89</v>
      </c>
      <c r="E111" s="132"/>
      <c r="F111" s="133">
        <f>E111*$C111</f>
        <v>0</v>
      </c>
      <c r="G111" s="134">
        <f>-(820+460)</f>
        <v>-1280</v>
      </c>
      <c r="H111" s="133">
        <f>G111*$C111</f>
        <v>-2316.8000000000002</v>
      </c>
      <c r="I111" s="134">
        <f>-(820+460)</f>
        <v>-1280</v>
      </c>
      <c r="J111" s="126">
        <f>I111*$C111</f>
        <v>-2316.8000000000002</v>
      </c>
      <c r="L111" s="129" t="s">
        <v>305</v>
      </c>
    </row>
    <row r="112" spans="1:12" x14ac:dyDescent="0.35">
      <c r="A112" s="169">
        <f t="shared" si="4"/>
        <v>101</v>
      </c>
      <c r="B112" s="9"/>
      <c r="C112" s="11"/>
      <c r="D112" s="10"/>
      <c r="E112" s="17"/>
      <c r="F112" s="17"/>
      <c r="G112" s="17"/>
      <c r="H112" s="17"/>
      <c r="I112" s="73"/>
      <c r="J112" s="148"/>
      <c r="L112" s="129"/>
    </row>
    <row r="113" spans="1:12" x14ac:dyDescent="0.35">
      <c r="A113" s="169">
        <f t="shared" si="4"/>
        <v>102</v>
      </c>
      <c r="B113" s="146" t="s">
        <v>335</v>
      </c>
      <c r="C113" s="149"/>
      <c r="D113" s="131"/>
      <c r="E113" s="132"/>
      <c r="F113" s="133"/>
      <c r="G113" s="134"/>
      <c r="H113" s="148" t="s">
        <v>336</v>
      </c>
      <c r="I113" s="134"/>
      <c r="J113" s="148" t="s">
        <v>336</v>
      </c>
      <c r="L113" s="129" t="s">
        <v>305</v>
      </c>
    </row>
    <row r="114" spans="1:12" x14ac:dyDescent="0.35">
      <c r="A114" s="169">
        <f t="shared" si="4"/>
        <v>103</v>
      </c>
      <c r="B114" s="9"/>
      <c r="C114" s="11"/>
      <c r="D114" s="10"/>
      <c r="E114" s="17"/>
      <c r="F114" s="17"/>
      <c r="G114" s="17"/>
      <c r="H114" s="17"/>
      <c r="I114" s="73"/>
      <c r="J114" s="148"/>
      <c r="L114" s="129"/>
    </row>
    <row r="115" spans="1:12" x14ac:dyDescent="0.35">
      <c r="A115" s="169">
        <f t="shared" si="4"/>
        <v>104</v>
      </c>
      <c r="B115" s="13" t="s">
        <v>209</v>
      </c>
      <c r="C115" s="11">
        <v>2013988</v>
      </c>
      <c r="D115" s="10" t="s">
        <v>89</v>
      </c>
      <c r="E115" s="17">
        <v>1</v>
      </c>
      <c r="F115" s="19">
        <f>E115*$C115</f>
        <v>2013988</v>
      </c>
      <c r="G115" s="17">
        <v>1</v>
      </c>
      <c r="H115" s="19">
        <f>G115*$C115</f>
        <v>2013988</v>
      </c>
      <c r="I115" s="73">
        <v>1</v>
      </c>
      <c r="J115" s="15">
        <f>I115*$C115</f>
        <v>2013988</v>
      </c>
    </row>
    <row r="116" spans="1:12" x14ac:dyDescent="0.35">
      <c r="A116" s="169">
        <f t="shared" si="4"/>
        <v>105</v>
      </c>
      <c r="B116" s="9"/>
      <c r="C116" s="11"/>
      <c r="D116" s="10"/>
      <c r="E116" s="17"/>
      <c r="F116" s="20" t="s">
        <v>6</v>
      </c>
      <c r="G116" s="17"/>
      <c r="H116" s="20" t="s">
        <v>6</v>
      </c>
      <c r="I116" s="73"/>
      <c r="J116" s="20" t="s">
        <v>6</v>
      </c>
    </row>
    <row r="117" spans="1:12" x14ac:dyDescent="0.35">
      <c r="A117" s="169">
        <f t="shared" si="4"/>
        <v>106</v>
      </c>
      <c r="B117" s="13" t="str">
        <f>"Subtotal " &amp; B102</f>
        <v>Subtotal 07-00-00 Thermal and Moisture Protection</v>
      </c>
      <c r="C117" s="11"/>
      <c r="D117" s="10"/>
      <c r="E117" s="17"/>
      <c r="F117" s="15">
        <f>SUM(F102:F116)</f>
        <v>2013988</v>
      </c>
      <c r="G117" s="17"/>
      <c r="H117" s="15">
        <f>SUM(H102:H116)</f>
        <v>2007895.2</v>
      </c>
      <c r="I117" s="73"/>
      <c r="J117" s="15">
        <f>SUM(J102:J116)</f>
        <v>2007895.2</v>
      </c>
    </row>
    <row r="118" spans="1:12" x14ac:dyDescent="0.35">
      <c r="A118" s="169">
        <f t="shared" si="4"/>
        <v>107</v>
      </c>
      <c r="B118" s="13"/>
      <c r="C118" s="11"/>
      <c r="D118" s="10"/>
      <c r="E118" s="17"/>
      <c r="F118" s="15"/>
      <c r="G118" s="17"/>
      <c r="H118" s="15"/>
      <c r="I118" s="73"/>
      <c r="J118" s="15"/>
    </row>
    <row r="119" spans="1:12" x14ac:dyDescent="0.35">
      <c r="A119" s="168">
        <f t="shared" si="4"/>
        <v>108</v>
      </c>
      <c r="B119" s="62" t="s">
        <v>44</v>
      </c>
      <c r="C119" s="65"/>
      <c r="D119" s="63"/>
      <c r="E119" s="64"/>
      <c r="F119" s="64"/>
      <c r="G119" s="64"/>
      <c r="H119" s="64"/>
      <c r="I119" s="74"/>
      <c r="J119" s="42"/>
    </row>
    <row r="120" spans="1:12" x14ac:dyDescent="0.35">
      <c r="A120" s="169">
        <f t="shared" si="4"/>
        <v>109</v>
      </c>
      <c r="B120" s="9"/>
      <c r="C120" s="11"/>
      <c r="D120" s="10"/>
      <c r="E120" s="17"/>
      <c r="F120" s="17"/>
      <c r="G120" s="17"/>
      <c r="H120" s="17"/>
      <c r="I120" s="73"/>
      <c r="J120" s="18"/>
    </row>
    <row r="121" spans="1:12" ht="27" x14ac:dyDescent="0.35">
      <c r="A121" s="169">
        <f t="shared" si="4"/>
        <v>110</v>
      </c>
      <c r="B121" s="147" t="s">
        <v>331</v>
      </c>
      <c r="C121" s="11"/>
      <c r="D121" s="10"/>
      <c r="E121" s="17"/>
      <c r="F121" s="15"/>
      <c r="G121" s="17"/>
      <c r="H121" s="15"/>
      <c r="I121" s="73"/>
      <c r="J121" s="15"/>
      <c r="L121" s="129" t="s">
        <v>305</v>
      </c>
    </row>
    <row r="122" spans="1:12" x14ac:dyDescent="0.35">
      <c r="A122" s="169">
        <f t="shared" si="4"/>
        <v>111</v>
      </c>
      <c r="B122" s="13"/>
      <c r="C122" s="11"/>
      <c r="D122" s="10"/>
      <c r="E122" s="17"/>
      <c r="F122" s="15"/>
      <c r="G122" s="17"/>
      <c r="H122" s="15"/>
      <c r="I122" s="73"/>
      <c r="J122" s="15"/>
      <c r="L122" s="129"/>
    </row>
    <row r="123" spans="1:12" x14ac:dyDescent="0.35">
      <c r="A123" s="169">
        <f t="shared" si="4"/>
        <v>112</v>
      </c>
      <c r="B123" s="147" t="s">
        <v>288</v>
      </c>
      <c r="C123" s="11"/>
      <c r="D123" s="10"/>
      <c r="E123" s="17"/>
      <c r="F123" s="15"/>
      <c r="G123" s="17"/>
      <c r="H123" s="15"/>
      <c r="I123" s="73"/>
      <c r="J123" s="15"/>
      <c r="L123" s="129"/>
    </row>
    <row r="124" spans="1:12" ht="40.5" x14ac:dyDescent="0.35">
      <c r="A124" s="169">
        <f t="shared" si="4"/>
        <v>113</v>
      </c>
      <c r="B124" s="142" t="s">
        <v>337</v>
      </c>
      <c r="C124" s="130">
        <f>2555*1.075</f>
        <v>2746.625</v>
      </c>
      <c r="D124" s="131" t="s">
        <v>290</v>
      </c>
      <c r="E124" s="132"/>
      <c r="F124" s="133">
        <f>E124*$C124</f>
        <v>0</v>
      </c>
      <c r="G124" s="132">
        <v>-1</v>
      </c>
      <c r="H124" s="133">
        <f>G124*$C124</f>
        <v>-2746.625</v>
      </c>
      <c r="I124" s="150">
        <v>-1</v>
      </c>
      <c r="J124" s="126">
        <f>I124*$C124</f>
        <v>-2746.625</v>
      </c>
      <c r="L124" s="129" t="s">
        <v>305</v>
      </c>
    </row>
    <row r="125" spans="1:12" x14ac:dyDescent="0.35">
      <c r="A125" s="169">
        <f t="shared" si="4"/>
        <v>114</v>
      </c>
      <c r="B125" s="13"/>
      <c r="C125" s="128"/>
      <c r="D125" s="10"/>
      <c r="E125" s="17"/>
      <c r="F125" s="17"/>
      <c r="G125" s="17"/>
      <c r="H125" s="17"/>
      <c r="I125" s="73"/>
      <c r="J125" s="18"/>
      <c r="L125" s="129"/>
    </row>
    <row r="126" spans="1:12" ht="40.5" x14ac:dyDescent="0.35">
      <c r="A126" s="169">
        <f t="shared" si="4"/>
        <v>115</v>
      </c>
      <c r="B126" s="142" t="s">
        <v>338</v>
      </c>
      <c r="C126" s="130">
        <f>5100*1.075</f>
        <v>5482.5</v>
      </c>
      <c r="D126" s="131" t="s">
        <v>339</v>
      </c>
      <c r="E126" s="132"/>
      <c r="F126" s="133">
        <f>E126*$C126</f>
        <v>0</v>
      </c>
      <c r="G126" s="132">
        <v>-2</v>
      </c>
      <c r="H126" s="133">
        <f>G126*$C126</f>
        <v>-10965</v>
      </c>
      <c r="I126" s="150">
        <v>-2</v>
      </c>
      <c r="J126" s="126">
        <f>I126*$C126</f>
        <v>-10965</v>
      </c>
      <c r="L126" s="129" t="s">
        <v>305</v>
      </c>
    </row>
    <row r="127" spans="1:12" x14ac:dyDescent="0.35">
      <c r="A127" s="169">
        <f t="shared" si="4"/>
        <v>116</v>
      </c>
      <c r="B127" s="13"/>
      <c r="C127" s="128"/>
      <c r="D127" s="10"/>
      <c r="E127" s="17"/>
      <c r="F127" s="17"/>
      <c r="G127" s="17"/>
      <c r="H127" s="17"/>
      <c r="I127" s="73"/>
      <c r="J127" s="18"/>
      <c r="L127" s="129"/>
    </row>
    <row r="128" spans="1:12" x14ac:dyDescent="0.35">
      <c r="A128" s="169">
        <f t="shared" si="4"/>
        <v>117</v>
      </c>
      <c r="B128" s="121" t="s">
        <v>340</v>
      </c>
      <c r="C128" s="128"/>
      <c r="D128" s="10"/>
      <c r="E128" s="17"/>
      <c r="F128" s="15"/>
      <c r="G128" s="17"/>
      <c r="H128" s="15"/>
      <c r="I128" s="73"/>
      <c r="J128" s="15"/>
      <c r="L128" s="129"/>
    </row>
    <row r="129" spans="1:12" ht="40.5" x14ac:dyDescent="0.35">
      <c r="A129" s="169">
        <f t="shared" si="4"/>
        <v>118</v>
      </c>
      <c r="B129" s="151" t="s">
        <v>341</v>
      </c>
      <c r="C129" s="130">
        <f>46.8*1.075</f>
        <v>50.309999999999995</v>
      </c>
      <c r="D129" s="131" t="s">
        <v>290</v>
      </c>
      <c r="E129" s="132"/>
      <c r="F129" s="133">
        <f>E129*$C129</f>
        <v>0</v>
      </c>
      <c r="G129" s="132">
        <v>0</v>
      </c>
      <c r="H129" s="133">
        <f>G129*$C129</f>
        <v>0</v>
      </c>
      <c r="I129" s="150">
        <f>-(21*13)</f>
        <v>-273</v>
      </c>
      <c r="J129" s="126">
        <f>I129*$C129</f>
        <v>-13734.63</v>
      </c>
      <c r="L129" s="129" t="s">
        <v>305</v>
      </c>
    </row>
    <row r="130" spans="1:12" x14ac:dyDescent="0.35">
      <c r="A130" s="169">
        <f t="shared" si="4"/>
        <v>119</v>
      </c>
      <c r="B130" s="145" t="s">
        <v>342</v>
      </c>
      <c r="C130" s="11"/>
      <c r="D130" s="10"/>
      <c r="E130" s="17"/>
      <c r="F130" s="17"/>
      <c r="G130" s="17"/>
      <c r="H130" s="17"/>
      <c r="I130" s="73"/>
      <c r="J130" s="18"/>
      <c r="L130" s="129"/>
    </row>
    <row r="131" spans="1:12" x14ac:dyDescent="0.35">
      <c r="A131" s="169">
        <f t="shared" si="4"/>
        <v>120</v>
      </c>
      <c r="B131" s="151"/>
      <c r="C131" s="11"/>
      <c r="D131" s="10"/>
      <c r="E131" s="17"/>
      <c r="F131" s="17"/>
      <c r="G131" s="17"/>
      <c r="H131" s="17"/>
      <c r="I131" s="73"/>
      <c r="J131" s="18"/>
      <c r="L131" s="129"/>
    </row>
    <row r="132" spans="1:12" x14ac:dyDescent="0.35">
      <c r="A132" s="169">
        <f t="shared" si="4"/>
        <v>121</v>
      </c>
      <c r="B132" s="121" t="s">
        <v>286</v>
      </c>
      <c r="C132" s="128"/>
      <c r="D132" s="10"/>
      <c r="E132" s="17"/>
      <c r="F132" s="15"/>
      <c r="G132" s="17"/>
      <c r="H132" s="15"/>
      <c r="I132" s="73"/>
      <c r="J132" s="15"/>
      <c r="L132" s="129"/>
    </row>
    <row r="133" spans="1:12" x14ac:dyDescent="0.35">
      <c r="A133" s="169">
        <f t="shared" si="4"/>
        <v>122</v>
      </c>
      <c r="B133" s="121" t="s">
        <v>340</v>
      </c>
      <c r="C133" s="128"/>
      <c r="D133" s="10"/>
      <c r="E133" s="17"/>
      <c r="F133" s="15"/>
      <c r="G133" s="17"/>
      <c r="H133" s="15"/>
      <c r="I133" s="73"/>
      <c r="J133" s="15"/>
      <c r="L133" s="129"/>
    </row>
    <row r="134" spans="1:12" ht="40.5" x14ac:dyDescent="0.35">
      <c r="A134" s="169">
        <f t="shared" si="4"/>
        <v>123</v>
      </c>
      <c r="B134" s="151" t="s">
        <v>343</v>
      </c>
      <c r="C134" s="130">
        <f>46.8*1.075</f>
        <v>50.309999999999995</v>
      </c>
      <c r="D134" s="131" t="s">
        <v>290</v>
      </c>
      <c r="E134" s="132"/>
      <c r="F134" s="133">
        <f>E134*$C134</f>
        <v>0</v>
      </c>
      <c r="G134" s="132">
        <f>(15*13)</f>
        <v>195</v>
      </c>
      <c r="H134" s="133">
        <f>G134*$C134</f>
        <v>9810.4499999999989</v>
      </c>
      <c r="I134" s="150">
        <v>0</v>
      </c>
      <c r="J134" s="126">
        <f>I134*$C134</f>
        <v>0</v>
      </c>
      <c r="L134" s="129" t="s">
        <v>305</v>
      </c>
    </row>
    <row r="135" spans="1:12" x14ac:dyDescent="0.35">
      <c r="A135" s="169">
        <f t="shared" si="4"/>
        <v>124</v>
      </c>
      <c r="B135" s="145" t="s">
        <v>344</v>
      </c>
      <c r="C135" s="11"/>
      <c r="D135" s="10"/>
      <c r="E135" s="17"/>
      <c r="F135" s="17"/>
      <c r="G135" s="17"/>
      <c r="H135" s="17"/>
      <c r="I135" s="73"/>
      <c r="J135" s="18"/>
      <c r="L135" s="129"/>
    </row>
    <row r="136" spans="1:12" x14ac:dyDescent="0.35">
      <c r="A136" s="169">
        <f t="shared" si="4"/>
        <v>125</v>
      </c>
      <c r="B136" s="151"/>
      <c r="C136" s="11"/>
      <c r="D136" s="10"/>
      <c r="E136" s="17"/>
      <c r="F136" s="17"/>
      <c r="G136" s="17"/>
      <c r="H136" s="17"/>
      <c r="I136" s="73"/>
      <c r="J136" s="18"/>
      <c r="L136" s="129"/>
    </row>
    <row r="137" spans="1:12" x14ac:dyDescent="0.35">
      <c r="A137" s="169">
        <f t="shared" si="4"/>
        <v>126</v>
      </c>
      <c r="B137" s="13" t="s">
        <v>210</v>
      </c>
      <c r="C137" s="11">
        <v>1787408</v>
      </c>
      <c r="D137" s="10" t="s">
        <v>31</v>
      </c>
      <c r="E137" s="17">
        <v>1</v>
      </c>
      <c r="F137" s="19">
        <f>E137*$C137</f>
        <v>1787408</v>
      </c>
      <c r="G137" s="17">
        <v>1</v>
      </c>
      <c r="H137" s="19">
        <f>G137*$C137</f>
        <v>1787408</v>
      </c>
      <c r="I137" s="73">
        <v>1</v>
      </c>
      <c r="J137" s="15">
        <f>I137*$C137</f>
        <v>1787408</v>
      </c>
    </row>
    <row r="138" spans="1:12" x14ac:dyDescent="0.35">
      <c r="A138" s="169">
        <f t="shared" si="4"/>
        <v>127</v>
      </c>
      <c r="B138" s="9"/>
      <c r="C138" s="11"/>
      <c r="D138" s="10"/>
      <c r="E138" s="17"/>
      <c r="F138" s="20" t="s">
        <v>6</v>
      </c>
      <c r="G138" s="17"/>
      <c r="H138" s="20" t="s">
        <v>6</v>
      </c>
      <c r="I138" s="73"/>
      <c r="J138" s="20" t="s">
        <v>6</v>
      </c>
    </row>
    <row r="139" spans="1:12" x14ac:dyDescent="0.35">
      <c r="A139" s="169">
        <f t="shared" si="4"/>
        <v>128</v>
      </c>
      <c r="B139" s="13" t="str">
        <f>"Subtotal " &amp; B119</f>
        <v>Subtotal 08-00-00 Openings</v>
      </c>
      <c r="C139" s="11"/>
      <c r="D139" s="10"/>
      <c r="E139" s="17"/>
      <c r="F139" s="15">
        <f>SUM(F119:F138)</f>
        <v>1787408</v>
      </c>
      <c r="G139" s="17"/>
      <c r="H139" s="15">
        <f>SUM(H119:H138)</f>
        <v>1783506.825</v>
      </c>
      <c r="I139" s="73"/>
      <c r="J139" s="15">
        <f>SUM(J119:J138)</f>
        <v>1759961.7450000001</v>
      </c>
    </row>
    <row r="140" spans="1:12" x14ac:dyDescent="0.35">
      <c r="A140" s="169">
        <f t="shared" si="4"/>
        <v>129</v>
      </c>
      <c r="B140" s="13"/>
      <c r="C140" s="11"/>
      <c r="D140" s="10"/>
      <c r="E140" s="17"/>
      <c r="F140" s="15"/>
      <c r="G140" s="17"/>
      <c r="H140" s="15"/>
      <c r="I140" s="73"/>
      <c r="J140" s="15"/>
    </row>
    <row r="141" spans="1:12" x14ac:dyDescent="0.35">
      <c r="A141" s="168">
        <f t="shared" si="4"/>
        <v>130</v>
      </c>
      <c r="B141" s="62" t="s">
        <v>45</v>
      </c>
      <c r="C141" s="65"/>
      <c r="D141" s="63"/>
      <c r="E141" s="64"/>
      <c r="F141" s="64"/>
      <c r="G141" s="64"/>
      <c r="H141" s="64"/>
      <c r="I141" s="74"/>
      <c r="J141" s="42"/>
    </row>
    <row r="142" spans="1:12" x14ac:dyDescent="0.35">
      <c r="A142" s="169">
        <f t="shared" si="4"/>
        <v>131</v>
      </c>
      <c r="B142" s="9"/>
      <c r="C142" s="11"/>
      <c r="D142" s="10"/>
      <c r="E142" s="17"/>
      <c r="F142" s="17"/>
      <c r="G142" s="17"/>
      <c r="H142" s="17"/>
      <c r="I142" s="73"/>
      <c r="J142" s="18"/>
    </row>
    <row r="143" spans="1:12" ht="27" x14ac:dyDescent="0.35">
      <c r="A143" s="169">
        <f t="shared" si="4"/>
        <v>132</v>
      </c>
      <c r="B143" s="147" t="s">
        <v>331</v>
      </c>
      <c r="C143" s="11"/>
      <c r="D143" s="10"/>
      <c r="E143" s="17"/>
      <c r="F143" s="15"/>
      <c r="G143" s="17"/>
      <c r="H143" s="15"/>
      <c r="I143" s="73"/>
      <c r="J143" s="15"/>
      <c r="L143" s="129" t="s">
        <v>305</v>
      </c>
    </row>
    <row r="144" spans="1:12" x14ac:dyDescent="0.35">
      <c r="A144" s="169">
        <f t="shared" si="4"/>
        <v>133</v>
      </c>
      <c r="B144" s="13"/>
      <c r="C144" s="11"/>
      <c r="D144" s="10"/>
      <c r="E144" s="17"/>
      <c r="F144" s="15"/>
      <c r="G144" s="17"/>
      <c r="H144" s="15"/>
      <c r="I144" s="73"/>
      <c r="J144" s="15"/>
      <c r="L144" s="129"/>
    </row>
    <row r="145" spans="1:12" x14ac:dyDescent="0.35">
      <c r="A145" s="169">
        <f t="shared" si="4"/>
        <v>134</v>
      </c>
      <c r="B145" s="147" t="s">
        <v>288</v>
      </c>
      <c r="C145" s="11"/>
      <c r="D145" s="10"/>
      <c r="E145" s="17"/>
      <c r="F145" s="15"/>
      <c r="G145" s="17"/>
      <c r="H145" s="15"/>
      <c r="I145" s="73"/>
      <c r="J145" s="15"/>
      <c r="L145" s="129"/>
    </row>
    <row r="146" spans="1:12" x14ac:dyDescent="0.35">
      <c r="A146" s="169">
        <f t="shared" si="4"/>
        <v>135</v>
      </c>
      <c r="B146" s="9" t="s">
        <v>345</v>
      </c>
      <c r="C146" s="11"/>
      <c r="D146" s="10"/>
      <c r="E146" s="17"/>
      <c r="F146" s="17"/>
      <c r="G146" s="17"/>
      <c r="H146" s="17"/>
      <c r="I146" s="73"/>
      <c r="J146" s="18"/>
      <c r="L146" s="129"/>
    </row>
    <row r="147" spans="1:12" ht="67.5" x14ac:dyDescent="0.35">
      <c r="A147" s="169">
        <f t="shared" si="4"/>
        <v>136</v>
      </c>
      <c r="B147" s="151" t="s">
        <v>346</v>
      </c>
      <c r="C147" s="130">
        <f>19.67*1.075</f>
        <v>21.145250000000001</v>
      </c>
      <c r="D147" s="131" t="s">
        <v>89</v>
      </c>
      <c r="E147" s="132">
        <v>0</v>
      </c>
      <c r="F147" s="133">
        <f>E147*$C147</f>
        <v>0</v>
      </c>
      <c r="G147" s="132">
        <f>-(150*15)</f>
        <v>-2250</v>
      </c>
      <c r="H147" s="133">
        <f>G147*$C147</f>
        <v>-47576.8125</v>
      </c>
      <c r="I147" s="132">
        <f>-(150*15)</f>
        <v>-2250</v>
      </c>
      <c r="J147" s="126">
        <f>I147*$C147</f>
        <v>-47576.8125</v>
      </c>
      <c r="L147" s="129" t="s">
        <v>305</v>
      </c>
    </row>
    <row r="148" spans="1:12" x14ac:dyDescent="0.35">
      <c r="A148" s="169">
        <f t="shared" si="4"/>
        <v>137</v>
      </c>
      <c r="B148" s="9"/>
      <c r="C148" s="128"/>
      <c r="D148" s="10"/>
      <c r="E148" s="17"/>
      <c r="F148" s="17"/>
      <c r="G148" s="134"/>
      <c r="H148" s="134"/>
      <c r="I148" s="73"/>
      <c r="J148" s="18"/>
      <c r="L148" s="129"/>
    </row>
    <row r="149" spans="1:12" x14ac:dyDescent="0.35">
      <c r="A149" s="169">
        <f t="shared" si="4"/>
        <v>138</v>
      </c>
      <c r="B149" s="9" t="s">
        <v>347</v>
      </c>
      <c r="C149" s="128"/>
      <c r="D149" s="10"/>
      <c r="E149" s="17"/>
      <c r="F149" s="17"/>
      <c r="G149" s="134"/>
      <c r="H149" s="134"/>
      <c r="I149" s="73"/>
      <c r="J149" s="18"/>
      <c r="L149" s="129"/>
    </row>
    <row r="150" spans="1:12" ht="27" x14ac:dyDescent="0.35">
      <c r="A150" s="169">
        <f t="shared" si="4"/>
        <v>139</v>
      </c>
      <c r="B150" s="139" t="s">
        <v>348</v>
      </c>
      <c r="C150" s="130">
        <f>5*1.075</f>
        <v>5.375</v>
      </c>
      <c r="D150" s="131" t="s">
        <v>89</v>
      </c>
      <c r="E150" s="132"/>
      <c r="F150" s="133">
        <f>E150*$C150</f>
        <v>0</v>
      </c>
      <c r="G150" s="134">
        <f>-(820+460)</f>
        <v>-1280</v>
      </c>
      <c r="H150" s="133">
        <f>G150*$C150</f>
        <v>-6880</v>
      </c>
      <c r="I150" s="134">
        <f>-(820+460)</f>
        <v>-1280</v>
      </c>
      <c r="J150" s="126">
        <f>I150*$C150</f>
        <v>-6880</v>
      </c>
      <c r="L150" s="129" t="s">
        <v>305</v>
      </c>
    </row>
    <row r="151" spans="1:12" x14ac:dyDescent="0.35">
      <c r="A151" s="169">
        <f t="shared" ref="A151:A214" si="5">ROW()-11</f>
        <v>140</v>
      </c>
      <c r="B151" s="9"/>
      <c r="C151" s="128"/>
      <c r="D151" s="10"/>
      <c r="E151" s="17"/>
      <c r="F151" s="17"/>
      <c r="G151" s="134"/>
      <c r="H151" s="134"/>
      <c r="I151" s="73"/>
      <c r="J151" s="18"/>
      <c r="L151" s="129"/>
    </row>
    <row r="152" spans="1:12" x14ac:dyDescent="0.35">
      <c r="A152" s="169">
        <f t="shared" si="5"/>
        <v>141</v>
      </c>
      <c r="B152" s="9" t="s">
        <v>349</v>
      </c>
      <c r="C152" s="128"/>
      <c r="D152" s="10"/>
      <c r="E152" s="17"/>
      <c r="F152" s="17"/>
      <c r="G152" s="134"/>
      <c r="H152" s="134"/>
      <c r="I152" s="73"/>
      <c r="J152" s="18"/>
      <c r="L152" s="129"/>
    </row>
    <row r="153" spans="1:12" x14ac:dyDescent="0.35">
      <c r="A153" s="169">
        <f t="shared" si="5"/>
        <v>142</v>
      </c>
      <c r="B153" s="139" t="s">
        <v>350</v>
      </c>
      <c r="C153" s="130">
        <f>1.5*1.075</f>
        <v>1.6124999999999998</v>
      </c>
      <c r="D153" s="131" t="s">
        <v>89</v>
      </c>
      <c r="E153" s="132"/>
      <c r="F153" s="133">
        <f>E153*$C153</f>
        <v>0</v>
      </c>
      <c r="G153" s="132">
        <f>-(150*15)*2</f>
        <v>-4500</v>
      </c>
      <c r="H153" s="133">
        <f>G153*$C153</f>
        <v>-7256.2499999999991</v>
      </c>
      <c r="I153" s="132">
        <f>-(150*15)*2</f>
        <v>-4500</v>
      </c>
      <c r="J153" s="126">
        <f>I153*$C153</f>
        <v>-7256.2499999999991</v>
      </c>
      <c r="L153" s="129" t="s">
        <v>305</v>
      </c>
    </row>
    <row r="154" spans="1:12" x14ac:dyDescent="0.35">
      <c r="A154" s="169">
        <f t="shared" si="5"/>
        <v>143</v>
      </c>
      <c r="B154" s="9"/>
      <c r="C154" s="128"/>
      <c r="D154" s="10"/>
      <c r="E154" s="17"/>
      <c r="F154" s="17"/>
      <c r="G154" s="134"/>
      <c r="H154" s="134"/>
      <c r="I154" s="73"/>
      <c r="J154" s="18"/>
      <c r="L154" s="129"/>
    </row>
    <row r="155" spans="1:12" x14ac:dyDescent="0.35">
      <c r="A155" s="169">
        <f t="shared" si="5"/>
        <v>144</v>
      </c>
      <c r="B155" s="9" t="s">
        <v>351</v>
      </c>
      <c r="C155" s="128"/>
      <c r="D155" s="10"/>
      <c r="E155" s="17"/>
      <c r="F155" s="17"/>
      <c r="G155" s="134"/>
      <c r="H155" s="134"/>
      <c r="I155" s="73"/>
      <c r="J155" s="18"/>
      <c r="L155" s="129"/>
    </row>
    <row r="156" spans="1:12" x14ac:dyDescent="0.35">
      <c r="A156" s="169">
        <f t="shared" si="5"/>
        <v>145</v>
      </c>
      <c r="B156" s="139" t="s">
        <v>352</v>
      </c>
      <c r="C156" s="130">
        <f>2.66*1.075</f>
        <v>2.8595000000000002</v>
      </c>
      <c r="D156" s="131" t="s">
        <v>89</v>
      </c>
      <c r="E156" s="132"/>
      <c r="F156" s="133">
        <f>E156*$C156</f>
        <v>0</v>
      </c>
      <c r="G156" s="134">
        <f>-(820+460)</f>
        <v>-1280</v>
      </c>
      <c r="H156" s="133">
        <f>G156*$C156</f>
        <v>-3660.1600000000003</v>
      </c>
      <c r="I156" s="134">
        <f>-(820+460)</f>
        <v>-1280</v>
      </c>
      <c r="J156" s="126">
        <f>I156*$C156</f>
        <v>-3660.1600000000003</v>
      </c>
      <c r="L156" s="129" t="s">
        <v>305</v>
      </c>
    </row>
    <row r="157" spans="1:12" x14ac:dyDescent="0.35">
      <c r="A157" s="169">
        <f t="shared" si="5"/>
        <v>146</v>
      </c>
      <c r="B157" s="13"/>
      <c r="C157" s="11"/>
      <c r="D157" s="10"/>
      <c r="E157" s="17"/>
      <c r="F157" s="15"/>
      <c r="G157" s="17"/>
      <c r="H157" s="15"/>
      <c r="I157" s="73"/>
      <c r="J157" s="15"/>
      <c r="L157" s="129"/>
    </row>
    <row r="158" spans="1:12" x14ac:dyDescent="0.35">
      <c r="A158" s="169">
        <f t="shared" si="5"/>
        <v>147</v>
      </c>
      <c r="B158" s="121" t="s">
        <v>286</v>
      </c>
      <c r="C158" s="11"/>
      <c r="D158" s="10"/>
      <c r="E158" s="17"/>
      <c r="F158" s="15"/>
      <c r="G158" s="17"/>
      <c r="H158" s="15"/>
      <c r="I158" s="73"/>
      <c r="J158" s="15"/>
      <c r="L158" s="129"/>
    </row>
    <row r="159" spans="1:12" x14ac:dyDescent="0.35">
      <c r="A159" s="169">
        <f t="shared" si="5"/>
        <v>148</v>
      </c>
      <c r="B159" s="9"/>
      <c r="C159" s="11"/>
      <c r="D159" s="10"/>
      <c r="E159" s="17"/>
      <c r="F159" s="17"/>
      <c r="G159" s="17"/>
      <c r="H159" s="17"/>
      <c r="I159" s="73"/>
      <c r="J159" s="18"/>
      <c r="L159" s="129"/>
    </row>
    <row r="160" spans="1:12" x14ac:dyDescent="0.35">
      <c r="A160" s="169">
        <f t="shared" si="5"/>
        <v>149</v>
      </c>
      <c r="B160" s="9" t="s">
        <v>345</v>
      </c>
      <c r="C160" s="11"/>
      <c r="D160" s="10"/>
      <c r="E160" s="17"/>
      <c r="F160" s="17"/>
      <c r="G160" s="17"/>
      <c r="H160" s="17"/>
      <c r="I160" s="73"/>
      <c r="J160" s="18"/>
      <c r="L160" s="129"/>
    </row>
    <row r="161" spans="1:12" ht="27" x14ac:dyDescent="0.35">
      <c r="A161" s="169">
        <f t="shared" si="5"/>
        <v>150</v>
      </c>
      <c r="B161" s="151" t="s">
        <v>353</v>
      </c>
      <c r="C161" s="149">
        <v>2000</v>
      </c>
      <c r="D161" s="131" t="s">
        <v>354</v>
      </c>
      <c r="E161" s="132">
        <v>3</v>
      </c>
      <c r="F161" s="133">
        <f>E161*$C161</f>
        <v>6000</v>
      </c>
      <c r="G161" s="132">
        <v>3</v>
      </c>
      <c r="H161" s="133">
        <f>G161*$C161</f>
        <v>6000</v>
      </c>
      <c r="I161" s="132">
        <v>3</v>
      </c>
      <c r="J161" s="126">
        <f>I161*$C161</f>
        <v>6000</v>
      </c>
      <c r="L161" s="129" t="s">
        <v>305</v>
      </c>
    </row>
    <row r="162" spans="1:12" x14ac:dyDescent="0.35">
      <c r="A162" s="169">
        <f t="shared" si="5"/>
        <v>151</v>
      </c>
      <c r="B162" s="9"/>
      <c r="C162" s="11"/>
      <c r="D162" s="10"/>
      <c r="E162" s="17"/>
      <c r="F162" s="17"/>
      <c r="G162" s="17"/>
      <c r="H162" s="17"/>
      <c r="I162" s="73"/>
      <c r="J162" s="18"/>
      <c r="L162" s="129"/>
    </row>
    <row r="163" spans="1:12" x14ac:dyDescent="0.35">
      <c r="A163" s="169">
        <f t="shared" si="5"/>
        <v>152</v>
      </c>
      <c r="B163" s="13" t="s">
        <v>93</v>
      </c>
      <c r="C163" s="11">
        <v>2792966</v>
      </c>
      <c r="D163" s="10" t="s">
        <v>89</v>
      </c>
      <c r="E163" s="17">
        <v>1</v>
      </c>
      <c r="F163" s="19">
        <f>E163*$C163</f>
        <v>2792966</v>
      </c>
      <c r="G163" s="17">
        <v>1</v>
      </c>
      <c r="H163" s="19">
        <f>G163*$C163</f>
        <v>2792966</v>
      </c>
      <c r="I163" s="73">
        <v>1</v>
      </c>
      <c r="J163" s="15">
        <f>I163*$C163</f>
        <v>2792966</v>
      </c>
    </row>
    <row r="164" spans="1:12" x14ac:dyDescent="0.35">
      <c r="A164" s="169">
        <f t="shared" si="5"/>
        <v>153</v>
      </c>
      <c r="B164" s="9"/>
      <c r="C164" s="11"/>
      <c r="D164" s="10"/>
      <c r="E164" s="17"/>
      <c r="F164" s="20" t="s">
        <v>6</v>
      </c>
      <c r="G164" s="17"/>
      <c r="H164" s="20" t="s">
        <v>6</v>
      </c>
      <c r="I164" s="73"/>
      <c r="J164" s="20" t="s">
        <v>6</v>
      </c>
    </row>
    <row r="165" spans="1:12" x14ac:dyDescent="0.35">
      <c r="A165" s="169">
        <f t="shared" si="5"/>
        <v>154</v>
      </c>
      <c r="B165" s="13" t="str">
        <f>"Subtotal " &amp; B141</f>
        <v>Subtotal 09-00-00 Finishes</v>
      </c>
      <c r="C165" s="11"/>
      <c r="D165" s="10"/>
      <c r="E165" s="17"/>
      <c r="F165" s="15">
        <f>SUM(F141:F164)</f>
        <v>2798966</v>
      </c>
      <c r="G165" s="17"/>
      <c r="H165" s="15">
        <f>SUM(H141:H164)</f>
        <v>2733592.7774999999</v>
      </c>
      <c r="I165" s="73"/>
      <c r="J165" s="15">
        <f>SUM(J141:J164)</f>
        <v>2733592.7774999999</v>
      </c>
    </row>
    <row r="166" spans="1:12" x14ac:dyDescent="0.35">
      <c r="A166" s="169">
        <f t="shared" si="5"/>
        <v>155</v>
      </c>
      <c r="B166" s="13"/>
      <c r="C166" s="11"/>
      <c r="D166" s="10"/>
      <c r="E166" s="17"/>
      <c r="F166" s="15"/>
      <c r="G166" s="17"/>
      <c r="H166" s="15"/>
      <c r="I166" s="73"/>
      <c r="J166" s="15"/>
    </row>
    <row r="167" spans="1:12" x14ac:dyDescent="0.35">
      <c r="A167" s="168">
        <f t="shared" si="5"/>
        <v>156</v>
      </c>
      <c r="B167" s="62" t="s">
        <v>47</v>
      </c>
      <c r="C167" s="65"/>
      <c r="D167" s="63"/>
      <c r="E167" s="64"/>
      <c r="F167" s="64"/>
      <c r="G167" s="64"/>
      <c r="H167" s="64"/>
      <c r="I167" s="74"/>
      <c r="J167" s="42"/>
    </row>
    <row r="168" spans="1:12" x14ac:dyDescent="0.35">
      <c r="A168" s="169">
        <f t="shared" si="5"/>
        <v>157</v>
      </c>
      <c r="B168" s="9"/>
      <c r="C168" s="11"/>
      <c r="D168" s="10"/>
      <c r="E168" s="17"/>
      <c r="F168" s="17"/>
      <c r="G168" s="17"/>
      <c r="H168" s="17"/>
      <c r="I168" s="73"/>
      <c r="J168" s="18"/>
    </row>
    <row r="169" spans="1:12" ht="27" x14ac:dyDescent="0.35">
      <c r="A169" s="169">
        <f t="shared" si="5"/>
        <v>158</v>
      </c>
      <c r="B169" s="147" t="s">
        <v>331</v>
      </c>
      <c r="C169" s="11"/>
      <c r="D169" s="10"/>
      <c r="E169" s="17"/>
      <c r="F169" s="15"/>
      <c r="G169" s="17"/>
      <c r="H169" s="15"/>
      <c r="I169" s="73"/>
      <c r="J169" s="15"/>
      <c r="L169" s="129" t="s">
        <v>305</v>
      </c>
    </row>
    <row r="170" spans="1:12" x14ac:dyDescent="0.35">
      <c r="A170" s="169">
        <f t="shared" si="5"/>
        <v>159</v>
      </c>
      <c r="B170" s="13"/>
      <c r="C170" s="11"/>
      <c r="D170" s="10"/>
      <c r="E170" s="17"/>
      <c r="F170" s="15"/>
      <c r="G170" s="17"/>
      <c r="H170" s="15"/>
      <c r="I170" s="73"/>
      <c r="J170" s="15"/>
      <c r="L170" s="129"/>
    </row>
    <row r="171" spans="1:12" x14ac:dyDescent="0.35">
      <c r="A171" s="169">
        <f t="shared" si="5"/>
        <v>160</v>
      </c>
      <c r="B171" s="13" t="s">
        <v>94</v>
      </c>
      <c r="C171" s="11">
        <v>3.19</v>
      </c>
      <c r="D171" s="10" t="s">
        <v>89</v>
      </c>
      <c r="E171" s="17">
        <f>$E$8</f>
        <v>49847</v>
      </c>
      <c r="F171" s="19">
        <f>E171*$C171</f>
        <v>159011.93</v>
      </c>
      <c r="G171" s="17">
        <f>G8</f>
        <v>48567</v>
      </c>
      <c r="H171" s="19">
        <f>G171*$C171</f>
        <v>154928.73000000001</v>
      </c>
      <c r="I171" s="73">
        <f>$I$8</f>
        <v>48567</v>
      </c>
      <c r="J171" s="15">
        <f>I171*$C171</f>
        <v>154928.73000000001</v>
      </c>
    </row>
    <row r="172" spans="1:12" x14ac:dyDescent="0.35">
      <c r="A172" s="169">
        <f t="shared" si="5"/>
        <v>161</v>
      </c>
      <c r="B172" s="9"/>
      <c r="C172" s="11"/>
      <c r="D172" s="10"/>
      <c r="E172" s="17"/>
      <c r="F172" s="20" t="s">
        <v>6</v>
      </c>
      <c r="G172" s="17"/>
      <c r="H172" s="20" t="s">
        <v>6</v>
      </c>
      <c r="I172" s="73"/>
      <c r="J172" s="20" t="s">
        <v>6</v>
      </c>
    </row>
    <row r="173" spans="1:12" x14ac:dyDescent="0.35">
      <c r="A173" s="169">
        <f t="shared" si="5"/>
        <v>162</v>
      </c>
      <c r="B173" s="13" t="str">
        <f>"Subtotal " &amp; B167</f>
        <v>Subtotal 10-00-00 Specialties</v>
      </c>
      <c r="C173" s="11"/>
      <c r="D173" s="10"/>
      <c r="E173" s="17"/>
      <c r="F173" s="15">
        <f>SUM(F167:F172)</f>
        <v>159011.93</v>
      </c>
      <c r="G173" s="17"/>
      <c r="H173" s="15">
        <f>SUM(H167:H172)</f>
        <v>154928.73000000001</v>
      </c>
      <c r="I173" s="73"/>
      <c r="J173" s="15">
        <f>SUM(J167:J172)</f>
        <v>154928.73000000001</v>
      </c>
    </row>
    <row r="174" spans="1:12" x14ac:dyDescent="0.35">
      <c r="A174" s="169">
        <f t="shared" si="5"/>
        <v>163</v>
      </c>
      <c r="B174" s="13"/>
      <c r="C174" s="11"/>
      <c r="D174" s="10"/>
      <c r="E174" s="17"/>
      <c r="F174" s="15"/>
      <c r="G174" s="17"/>
      <c r="H174" s="15"/>
      <c r="I174" s="73"/>
      <c r="J174" s="15"/>
    </row>
    <row r="175" spans="1:12" x14ac:dyDescent="0.35">
      <c r="A175" s="168">
        <f t="shared" si="5"/>
        <v>164</v>
      </c>
      <c r="B175" s="62" t="s">
        <v>46</v>
      </c>
      <c r="C175" s="65"/>
      <c r="D175" s="63"/>
      <c r="E175" s="64"/>
      <c r="F175" s="64"/>
      <c r="G175" s="64"/>
      <c r="H175" s="64"/>
      <c r="I175" s="74"/>
      <c r="J175" s="42"/>
    </row>
    <row r="176" spans="1:12" x14ac:dyDescent="0.35">
      <c r="A176" s="169">
        <f t="shared" si="5"/>
        <v>165</v>
      </c>
      <c r="B176" s="9"/>
      <c r="C176" s="11"/>
      <c r="D176" s="10"/>
      <c r="E176" s="17"/>
      <c r="F176" s="17"/>
      <c r="G176" s="17"/>
      <c r="H176" s="17"/>
      <c r="I176" s="73"/>
      <c r="J176" s="18"/>
    </row>
    <row r="177" spans="1:10" x14ac:dyDescent="0.35">
      <c r="A177" s="169">
        <f t="shared" si="5"/>
        <v>166</v>
      </c>
      <c r="B177" s="13" t="s">
        <v>95</v>
      </c>
      <c r="C177" s="11">
        <v>2.6</v>
      </c>
      <c r="D177" s="10" t="s">
        <v>89</v>
      </c>
      <c r="E177" s="17">
        <f>$E$8</f>
        <v>49847</v>
      </c>
      <c r="F177" s="19">
        <f>E177*$C177</f>
        <v>129602.20000000001</v>
      </c>
      <c r="G177" s="17">
        <f>G8</f>
        <v>48567</v>
      </c>
      <c r="H177" s="19">
        <f>G177*$C177</f>
        <v>126274.2</v>
      </c>
      <c r="I177" s="73">
        <f>$I$8</f>
        <v>48567</v>
      </c>
      <c r="J177" s="15">
        <f>I177*$C177</f>
        <v>126274.2</v>
      </c>
    </row>
    <row r="178" spans="1:10" x14ac:dyDescent="0.35">
      <c r="A178" s="169">
        <f t="shared" si="5"/>
        <v>167</v>
      </c>
      <c r="B178" s="9"/>
      <c r="C178" s="11"/>
      <c r="D178" s="10"/>
      <c r="E178" s="17"/>
      <c r="F178" s="20" t="s">
        <v>6</v>
      </c>
      <c r="G178" s="17"/>
      <c r="H178" s="20" t="s">
        <v>6</v>
      </c>
      <c r="I178" s="73"/>
      <c r="J178" s="20" t="s">
        <v>6</v>
      </c>
    </row>
    <row r="179" spans="1:10" x14ac:dyDescent="0.35">
      <c r="A179" s="169">
        <f t="shared" si="5"/>
        <v>168</v>
      </c>
      <c r="B179" s="13" t="str">
        <f>"Subtotal " &amp; B175</f>
        <v>Subtotal 11-00-00 Equipments</v>
      </c>
      <c r="C179" s="11"/>
      <c r="D179" s="10"/>
      <c r="E179" s="17"/>
      <c r="F179" s="15">
        <f>SUM(F175:F178)</f>
        <v>129602.20000000001</v>
      </c>
      <c r="G179" s="17"/>
      <c r="H179" s="15">
        <f>SUM(H175:H178)</f>
        <v>126274.2</v>
      </c>
      <c r="I179" s="73"/>
      <c r="J179" s="15">
        <f>SUM(J175:J178)</f>
        <v>126274.2</v>
      </c>
    </row>
    <row r="180" spans="1:10" x14ac:dyDescent="0.35">
      <c r="A180" s="169">
        <f t="shared" si="5"/>
        <v>169</v>
      </c>
      <c r="B180" s="13"/>
      <c r="C180" s="11"/>
      <c r="D180" s="10"/>
      <c r="E180" s="17"/>
      <c r="F180" s="15"/>
      <c r="G180" s="17"/>
      <c r="H180" s="15"/>
      <c r="I180" s="73"/>
      <c r="J180" s="15"/>
    </row>
    <row r="181" spans="1:10" x14ac:dyDescent="0.35">
      <c r="A181" s="168">
        <f t="shared" si="5"/>
        <v>170</v>
      </c>
      <c r="B181" s="62" t="s">
        <v>48</v>
      </c>
      <c r="C181" s="65"/>
      <c r="D181" s="63"/>
      <c r="E181" s="64"/>
      <c r="F181" s="64"/>
      <c r="G181" s="64"/>
      <c r="H181" s="64"/>
      <c r="I181" s="74"/>
      <c r="J181" s="42"/>
    </row>
    <row r="182" spans="1:10" x14ac:dyDescent="0.35">
      <c r="A182" s="169">
        <f t="shared" si="5"/>
        <v>171</v>
      </c>
      <c r="B182" s="9"/>
      <c r="C182" s="11"/>
      <c r="D182" s="10"/>
      <c r="E182" s="17"/>
      <c r="F182" s="17"/>
      <c r="G182" s="17"/>
      <c r="H182" s="17"/>
      <c r="I182" s="73"/>
      <c r="J182" s="18"/>
    </row>
    <row r="183" spans="1:10" x14ac:dyDescent="0.35">
      <c r="A183" s="169">
        <f t="shared" si="5"/>
        <v>172</v>
      </c>
      <c r="B183" s="13" t="s">
        <v>96</v>
      </c>
      <c r="C183" s="11">
        <v>3.55</v>
      </c>
      <c r="D183" s="10" t="s">
        <v>89</v>
      </c>
      <c r="E183" s="17">
        <f>$E$8</f>
        <v>49847</v>
      </c>
      <c r="F183" s="19">
        <f>E183*$C183</f>
        <v>176956.84999999998</v>
      </c>
      <c r="G183" s="17">
        <f>G8</f>
        <v>48567</v>
      </c>
      <c r="H183" s="19">
        <f>G183*$C183</f>
        <v>172412.85</v>
      </c>
      <c r="I183" s="73">
        <f>$I$8</f>
        <v>48567</v>
      </c>
      <c r="J183" s="15">
        <f>I183*$C183</f>
        <v>172412.85</v>
      </c>
    </row>
    <row r="184" spans="1:10" x14ac:dyDescent="0.35">
      <c r="A184" s="169">
        <f t="shared" si="5"/>
        <v>173</v>
      </c>
      <c r="B184" s="9"/>
      <c r="C184" s="11"/>
      <c r="D184" s="10"/>
      <c r="E184" s="17"/>
      <c r="F184" s="20" t="s">
        <v>6</v>
      </c>
      <c r="G184" s="17"/>
      <c r="H184" s="20" t="s">
        <v>6</v>
      </c>
      <c r="I184" s="73"/>
      <c r="J184" s="20" t="s">
        <v>6</v>
      </c>
    </row>
    <row r="185" spans="1:10" x14ac:dyDescent="0.35">
      <c r="A185" s="169">
        <f t="shared" si="5"/>
        <v>174</v>
      </c>
      <c r="B185" s="13" t="str">
        <f>"Subtotal " &amp; B181</f>
        <v>Subtotal 12-00-00 Furnishings</v>
      </c>
      <c r="C185" s="11"/>
      <c r="D185" s="10"/>
      <c r="E185" s="17"/>
      <c r="F185" s="15">
        <f>SUM(F181:F184)</f>
        <v>176956.84999999998</v>
      </c>
      <c r="G185" s="17"/>
      <c r="H185" s="15">
        <f>SUM(H181:H184)</f>
        <v>172412.85</v>
      </c>
      <c r="I185" s="73"/>
      <c r="J185" s="15">
        <f>SUM(J181:J184)</f>
        <v>172412.85</v>
      </c>
    </row>
    <row r="186" spans="1:10" x14ac:dyDescent="0.35">
      <c r="A186" s="169">
        <f t="shared" si="5"/>
        <v>175</v>
      </c>
      <c r="B186" s="13"/>
      <c r="C186" s="11"/>
      <c r="D186" s="10"/>
      <c r="E186" s="17"/>
      <c r="F186" s="15"/>
      <c r="G186" s="17"/>
      <c r="H186" s="15"/>
      <c r="I186" s="73"/>
      <c r="J186" s="15"/>
    </row>
    <row r="187" spans="1:10" x14ac:dyDescent="0.35">
      <c r="A187" s="168">
        <f t="shared" si="5"/>
        <v>176</v>
      </c>
      <c r="B187" s="62" t="s">
        <v>49</v>
      </c>
      <c r="C187" s="65"/>
      <c r="D187" s="63"/>
      <c r="E187" s="64"/>
      <c r="F187" s="64"/>
      <c r="G187" s="64"/>
      <c r="H187" s="64"/>
      <c r="I187" s="74"/>
      <c r="J187" s="42"/>
    </row>
    <row r="188" spans="1:10" x14ac:dyDescent="0.35">
      <c r="A188" s="169">
        <f t="shared" si="5"/>
        <v>177</v>
      </c>
      <c r="B188" s="9"/>
      <c r="C188" s="11"/>
      <c r="D188" s="10"/>
      <c r="E188" s="17"/>
      <c r="F188" s="17"/>
      <c r="G188" s="17"/>
      <c r="H188" s="17"/>
      <c r="I188" s="73"/>
      <c r="J188" s="18"/>
    </row>
    <row r="189" spans="1:10" x14ac:dyDescent="0.35">
      <c r="A189" s="169">
        <f t="shared" si="5"/>
        <v>178</v>
      </c>
      <c r="B189" s="9"/>
      <c r="C189" s="11"/>
      <c r="D189" s="10"/>
      <c r="E189" s="17"/>
      <c r="F189" s="20" t="s">
        <v>6</v>
      </c>
      <c r="G189" s="17"/>
      <c r="H189" s="20" t="s">
        <v>6</v>
      </c>
      <c r="I189" s="73"/>
      <c r="J189" s="20" t="s">
        <v>6</v>
      </c>
    </row>
    <row r="190" spans="1:10" x14ac:dyDescent="0.35">
      <c r="A190" s="169">
        <f t="shared" si="5"/>
        <v>179</v>
      </c>
      <c r="B190" s="13" t="str">
        <f>"Subtotal " &amp; B187</f>
        <v>Subtotal 13-00-00 Special Construction</v>
      </c>
      <c r="C190" s="11"/>
      <c r="D190" s="10"/>
      <c r="E190" s="17"/>
      <c r="F190" s="15">
        <f>SUM(F187:F189)</f>
        <v>0</v>
      </c>
      <c r="G190" s="17"/>
      <c r="H190" s="15">
        <f>SUM(H187:H189)</f>
        <v>0</v>
      </c>
      <c r="I190" s="73"/>
      <c r="J190" s="15">
        <f>SUM(J187:J189)</f>
        <v>0</v>
      </c>
    </row>
    <row r="191" spans="1:10" x14ac:dyDescent="0.35">
      <c r="A191" s="169">
        <f t="shared" si="5"/>
        <v>180</v>
      </c>
      <c r="B191" s="13"/>
      <c r="C191" s="11"/>
      <c r="D191" s="10"/>
      <c r="E191" s="17"/>
      <c r="F191" s="15"/>
      <c r="G191" s="17"/>
      <c r="H191" s="15"/>
      <c r="I191" s="73"/>
      <c r="J191" s="15"/>
    </row>
    <row r="192" spans="1:10" x14ac:dyDescent="0.35">
      <c r="A192" s="168">
        <f t="shared" si="5"/>
        <v>181</v>
      </c>
      <c r="B192" s="62" t="s">
        <v>50</v>
      </c>
      <c r="C192" s="65"/>
      <c r="D192" s="63"/>
      <c r="E192" s="64"/>
      <c r="F192" s="64"/>
      <c r="G192" s="64"/>
      <c r="H192" s="64"/>
      <c r="I192" s="74"/>
      <c r="J192" s="42"/>
    </row>
    <row r="193" spans="1:12" x14ac:dyDescent="0.35">
      <c r="A193" s="169">
        <f t="shared" si="5"/>
        <v>182</v>
      </c>
      <c r="B193" s="9"/>
      <c r="C193" s="11"/>
      <c r="D193" s="10"/>
      <c r="E193" s="17"/>
      <c r="F193" s="17"/>
      <c r="G193" s="17"/>
      <c r="H193" s="17"/>
      <c r="I193" s="73"/>
      <c r="J193" s="18"/>
    </row>
    <row r="194" spans="1:12" x14ac:dyDescent="0.35">
      <c r="A194" s="169">
        <f t="shared" si="5"/>
        <v>183</v>
      </c>
      <c r="B194" s="13" t="s">
        <v>97</v>
      </c>
      <c r="C194" s="11">
        <v>12.18</v>
      </c>
      <c r="D194" s="10" t="s">
        <v>89</v>
      </c>
      <c r="E194" s="17">
        <f>$E$8</f>
        <v>49847</v>
      </c>
      <c r="F194" s="19">
        <f>E194*$C194</f>
        <v>607136.46</v>
      </c>
      <c r="G194" s="17">
        <f>G8</f>
        <v>48567</v>
      </c>
      <c r="H194" s="19">
        <f>G194*$C194</f>
        <v>591546.05999999994</v>
      </c>
      <c r="I194" s="73">
        <f>$I$8</f>
        <v>48567</v>
      </c>
      <c r="J194" s="15">
        <f>I194*$C194</f>
        <v>591546.05999999994</v>
      </c>
    </row>
    <row r="195" spans="1:12" x14ac:dyDescent="0.35">
      <c r="A195" s="169">
        <f t="shared" si="5"/>
        <v>184</v>
      </c>
      <c r="B195" s="9"/>
      <c r="C195" s="11"/>
      <c r="D195" s="10"/>
      <c r="E195" s="17"/>
      <c r="F195" s="20" t="s">
        <v>6</v>
      </c>
      <c r="G195" s="17"/>
      <c r="H195" s="20" t="s">
        <v>6</v>
      </c>
      <c r="I195" s="73"/>
      <c r="J195" s="20" t="s">
        <v>6</v>
      </c>
    </row>
    <row r="196" spans="1:12" x14ac:dyDescent="0.35">
      <c r="A196" s="169">
        <f t="shared" si="5"/>
        <v>185</v>
      </c>
      <c r="B196" s="13" t="str">
        <f>"Subtotal " &amp; B192</f>
        <v>Subtotal 14-00-00 Elevators</v>
      </c>
      <c r="C196" s="11"/>
      <c r="D196" s="10"/>
      <c r="E196" s="17"/>
      <c r="F196" s="15">
        <f>SUM(F192:F195)</f>
        <v>607136.46</v>
      </c>
      <c r="G196" s="17"/>
      <c r="H196" s="15">
        <f>SUM(H192:H195)</f>
        <v>591546.05999999994</v>
      </c>
      <c r="I196" s="73"/>
      <c r="J196" s="15">
        <f>SUM(J192:J195)</f>
        <v>591546.05999999994</v>
      </c>
    </row>
    <row r="197" spans="1:12" x14ac:dyDescent="0.35">
      <c r="A197" s="169">
        <f t="shared" si="5"/>
        <v>186</v>
      </c>
      <c r="B197" s="13"/>
      <c r="C197" s="11"/>
      <c r="D197" s="10"/>
      <c r="E197" s="17"/>
      <c r="F197" s="15"/>
      <c r="G197" s="17"/>
      <c r="H197" s="15"/>
      <c r="I197" s="73"/>
      <c r="J197" s="15"/>
    </row>
    <row r="198" spans="1:12" x14ac:dyDescent="0.35">
      <c r="A198" s="168">
        <f t="shared" si="5"/>
        <v>187</v>
      </c>
      <c r="B198" s="62" t="s">
        <v>51</v>
      </c>
      <c r="C198" s="65"/>
      <c r="D198" s="63"/>
      <c r="E198" s="64"/>
      <c r="F198" s="64"/>
      <c r="G198" s="64"/>
      <c r="H198" s="64"/>
      <c r="I198" s="74"/>
      <c r="J198" s="42"/>
    </row>
    <row r="199" spans="1:12" x14ac:dyDescent="0.35">
      <c r="A199" s="169">
        <f t="shared" si="5"/>
        <v>188</v>
      </c>
      <c r="B199" s="9"/>
      <c r="C199" s="11"/>
      <c r="D199" s="10"/>
      <c r="E199" s="17"/>
      <c r="F199" s="17"/>
      <c r="G199" s="17"/>
      <c r="H199" s="17"/>
      <c r="I199" s="73"/>
      <c r="J199" s="18"/>
    </row>
    <row r="200" spans="1:12" ht="27" x14ac:dyDescent="0.35">
      <c r="A200" s="169">
        <f t="shared" si="5"/>
        <v>189</v>
      </c>
      <c r="B200" s="147" t="s">
        <v>355</v>
      </c>
      <c r="C200" s="11"/>
      <c r="D200" s="10"/>
      <c r="E200" s="17"/>
      <c r="F200" s="15"/>
      <c r="G200" s="17"/>
      <c r="H200" s="15"/>
      <c r="I200" s="73"/>
      <c r="J200" s="15"/>
      <c r="L200" s="129"/>
    </row>
    <row r="201" spans="1:12" x14ac:dyDescent="0.35">
      <c r="A201" s="169">
        <f t="shared" si="5"/>
        <v>190</v>
      </c>
      <c r="B201" s="13"/>
      <c r="C201" s="11"/>
      <c r="D201" s="10"/>
      <c r="E201" s="17"/>
      <c r="F201" s="15"/>
      <c r="G201" s="17"/>
      <c r="H201" s="15"/>
      <c r="I201" s="73"/>
      <c r="J201" s="15"/>
      <c r="L201" s="129"/>
    </row>
    <row r="202" spans="1:12" x14ac:dyDescent="0.35">
      <c r="A202" s="169">
        <f t="shared" si="5"/>
        <v>191</v>
      </c>
      <c r="B202" s="13" t="s">
        <v>100</v>
      </c>
      <c r="C202" s="11">
        <v>10.220000000000001</v>
      </c>
      <c r="D202" s="10" t="s">
        <v>89</v>
      </c>
      <c r="E202" s="17">
        <f>$E$8</f>
        <v>49847</v>
      </c>
      <c r="F202" s="19">
        <f>E202*$C202</f>
        <v>509436.34</v>
      </c>
      <c r="G202" s="17">
        <f>G8</f>
        <v>48567</v>
      </c>
      <c r="H202" s="19">
        <f>G202*$C202</f>
        <v>496354.74000000005</v>
      </c>
      <c r="I202" s="73">
        <f>$I$8</f>
        <v>48567</v>
      </c>
      <c r="J202" s="15">
        <f>I202*$C202</f>
        <v>496354.74000000005</v>
      </c>
    </row>
    <row r="203" spans="1:12" x14ac:dyDescent="0.35">
      <c r="A203" s="169">
        <f t="shared" si="5"/>
        <v>192</v>
      </c>
      <c r="B203" s="9"/>
      <c r="C203" s="11"/>
      <c r="D203" s="10"/>
      <c r="E203" s="17"/>
      <c r="F203" s="20" t="s">
        <v>6</v>
      </c>
      <c r="G203" s="17"/>
      <c r="H203" s="20" t="s">
        <v>6</v>
      </c>
      <c r="I203" s="73"/>
      <c r="J203" s="20" t="s">
        <v>6</v>
      </c>
    </row>
    <row r="204" spans="1:12" x14ac:dyDescent="0.35">
      <c r="A204" s="169">
        <f t="shared" si="5"/>
        <v>193</v>
      </c>
      <c r="B204" s="13" t="str">
        <f>"Subtotal " &amp; B198</f>
        <v>Subtotal 21-00-00 Fire Suppression</v>
      </c>
      <c r="C204" s="11"/>
      <c r="D204" s="10"/>
      <c r="E204" s="17"/>
      <c r="F204" s="15">
        <f>SUM(F198:F203)</f>
        <v>509436.34</v>
      </c>
      <c r="G204" s="17"/>
      <c r="H204" s="15">
        <f>SUM(H198:H203)</f>
        <v>496354.74000000005</v>
      </c>
      <c r="I204" s="73"/>
      <c r="J204" s="15">
        <f>SUM(J198:J203)</f>
        <v>496354.74000000005</v>
      </c>
    </row>
    <row r="205" spans="1:12" x14ac:dyDescent="0.35">
      <c r="A205" s="169">
        <f t="shared" si="5"/>
        <v>194</v>
      </c>
      <c r="B205" s="13"/>
      <c r="C205" s="11"/>
      <c r="D205" s="10"/>
      <c r="E205" s="17"/>
      <c r="F205" s="15"/>
      <c r="G205" s="17"/>
      <c r="H205" s="15"/>
      <c r="I205" s="73"/>
      <c r="J205" s="15"/>
    </row>
    <row r="206" spans="1:12" x14ac:dyDescent="0.35">
      <c r="A206" s="168">
        <f t="shared" si="5"/>
        <v>195</v>
      </c>
      <c r="B206" s="62" t="s">
        <v>52</v>
      </c>
      <c r="C206" s="65"/>
      <c r="D206" s="63"/>
      <c r="E206" s="64"/>
      <c r="F206" s="64"/>
      <c r="G206" s="64"/>
      <c r="H206" s="64"/>
      <c r="I206" s="74"/>
      <c r="J206" s="42"/>
    </row>
    <row r="207" spans="1:12" x14ac:dyDescent="0.35">
      <c r="A207" s="169">
        <f t="shared" si="5"/>
        <v>196</v>
      </c>
      <c r="B207" s="9"/>
      <c r="C207" s="11"/>
      <c r="D207" s="10"/>
      <c r="E207" s="17"/>
      <c r="F207" s="17"/>
      <c r="G207" s="17"/>
      <c r="H207" s="17"/>
      <c r="I207" s="73"/>
      <c r="J207" s="18"/>
    </row>
    <row r="208" spans="1:12" x14ac:dyDescent="0.35">
      <c r="A208" s="169">
        <f t="shared" si="5"/>
        <v>197</v>
      </c>
      <c r="B208" s="13" t="s">
        <v>99</v>
      </c>
      <c r="C208" s="11">
        <v>16.54</v>
      </c>
      <c r="D208" s="10" t="s">
        <v>89</v>
      </c>
      <c r="E208" s="17">
        <f>$E$8</f>
        <v>49847</v>
      </c>
      <c r="F208" s="19">
        <f>E208*$C208</f>
        <v>824469.38</v>
      </c>
      <c r="G208" s="17">
        <f>G8</f>
        <v>48567</v>
      </c>
      <c r="H208" s="19">
        <f>G208*$C208</f>
        <v>803298.17999999993</v>
      </c>
      <c r="I208" s="73">
        <f>$I$8</f>
        <v>48567</v>
      </c>
      <c r="J208" s="15">
        <f>I208*$C208</f>
        <v>803298.17999999993</v>
      </c>
    </row>
    <row r="209" spans="1:15" x14ac:dyDescent="0.35">
      <c r="A209" s="169">
        <f t="shared" si="5"/>
        <v>198</v>
      </c>
      <c r="B209" s="161" t="s">
        <v>286</v>
      </c>
      <c r="C209" s="11"/>
      <c r="D209" s="10"/>
      <c r="E209" s="17"/>
      <c r="F209" s="19"/>
      <c r="G209" s="17"/>
      <c r="H209" s="19"/>
      <c r="I209" s="73"/>
      <c r="J209" s="15"/>
    </row>
    <row r="210" spans="1:15" ht="27" x14ac:dyDescent="0.35">
      <c r="A210" s="169">
        <f t="shared" si="5"/>
        <v>199</v>
      </c>
      <c r="B210" s="159" t="s">
        <v>379</v>
      </c>
      <c r="C210" s="155">
        <v>30000</v>
      </c>
      <c r="D210" s="10" t="s">
        <v>380</v>
      </c>
      <c r="E210" s="17">
        <v>1</v>
      </c>
      <c r="F210" s="19">
        <f>E210*$C210</f>
        <v>30000</v>
      </c>
      <c r="G210" s="17">
        <v>1</v>
      </c>
      <c r="H210" s="19">
        <f>G210*$C210</f>
        <v>30000</v>
      </c>
      <c r="I210" s="73">
        <v>1</v>
      </c>
      <c r="J210" s="15">
        <f>I210*$C210</f>
        <v>30000</v>
      </c>
    </row>
    <row r="211" spans="1:15" x14ac:dyDescent="0.35">
      <c r="A211" s="169">
        <f t="shared" si="5"/>
        <v>200</v>
      </c>
      <c r="B211" s="9"/>
      <c r="C211" s="11"/>
      <c r="D211" s="10"/>
      <c r="E211" s="17"/>
      <c r="F211" s="20" t="s">
        <v>6</v>
      </c>
      <c r="G211" s="17"/>
      <c r="H211" s="20" t="s">
        <v>6</v>
      </c>
      <c r="I211" s="73"/>
      <c r="J211" s="20" t="s">
        <v>6</v>
      </c>
    </row>
    <row r="212" spans="1:15" x14ac:dyDescent="0.35">
      <c r="A212" s="169">
        <f t="shared" si="5"/>
        <v>201</v>
      </c>
      <c r="B212" s="13" t="str">
        <f>"Subtotal " &amp; B206</f>
        <v>Subtotal 22-00-00 Plumbing</v>
      </c>
      <c r="C212" s="11"/>
      <c r="D212" s="10"/>
      <c r="E212" s="17"/>
      <c r="F212" s="15">
        <f>SUM(F206:F211)</f>
        <v>854469.38</v>
      </c>
      <c r="G212" s="17"/>
      <c r="H212" s="15">
        <f>SUM(H206:H211)</f>
        <v>833298.17999999993</v>
      </c>
      <c r="I212" s="73"/>
      <c r="J212" s="15">
        <f>SUM(J206:J211)</f>
        <v>833298.17999999993</v>
      </c>
    </row>
    <row r="213" spans="1:15" x14ac:dyDescent="0.35">
      <c r="A213" s="169">
        <f t="shared" si="5"/>
        <v>202</v>
      </c>
      <c r="B213" s="13"/>
      <c r="C213" s="11"/>
      <c r="D213" s="10"/>
      <c r="E213" s="17"/>
      <c r="F213" s="15"/>
      <c r="G213" s="17"/>
      <c r="H213" s="15"/>
      <c r="I213" s="73"/>
      <c r="J213" s="15"/>
    </row>
    <row r="214" spans="1:15" x14ac:dyDescent="0.35">
      <c r="A214" s="168">
        <f t="shared" si="5"/>
        <v>203</v>
      </c>
      <c r="B214" s="62" t="s">
        <v>53</v>
      </c>
      <c r="C214" s="65"/>
      <c r="D214" s="63"/>
      <c r="E214" s="64"/>
      <c r="F214" s="64"/>
      <c r="G214" s="64"/>
      <c r="H214" s="64"/>
      <c r="I214" s="74"/>
      <c r="J214" s="42"/>
    </row>
    <row r="215" spans="1:15" x14ac:dyDescent="0.35">
      <c r="A215" s="169">
        <f t="shared" ref="A215:A278" si="6">ROW()-11</f>
        <v>204</v>
      </c>
      <c r="B215" s="9"/>
      <c r="C215" s="11"/>
      <c r="D215" s="10"/>
      <c r="E215" s="17"/>
      <c r="F215" s="17"/>
      <c r="G215" s="17"/>
      <c r="H215" s="17"/>
      <c r="I215" s="73"/>
      <c r="J215" s="18"/>
    </row>
    <row r="216" spans="1:15" x14ac:dyDescent="0.35">
      <c r="A216" s="169">
        <f t="shared" si="6"/>
        <v>205</v>
      </c>
      <c r="B216" s="161" t="s">
        <v>286</v>
      </c>
      <c r="C216" s="11"/>
      <c r="D216" s="10"/>
      <c r="E216" s="17"/>
      <c r="F216" s="19"/>
      <c r="G216" s="17"/>
      <c r="H216" s="19"/>
      <c r="I216" s="73"/>
      <c r="J216" s="15"/>
    </row>
    <row r="217" spans="1:15" x14ac:dyDescent="0.35">
      <c r="A217" s="169">
        <f t="shared" si="6"/>
        <v>206</v>
      </c>
      <c r="B217" s="159" t="s">
        <v>462</v>
      </c>
      <c r="C217" s="155">
        <v>50000</v>
      </c>
      <c r="D217" s="10" t="s">
        <v>31</v>
      </c>
      <c r="E217" s="17">
        <v>1</v>
      </c>
      <c r="F217" s="19">
        <f t="shared" ref="F217:F231" si="7">E217*$C217</f>
        <v>50000</v>
      </c>
      <c r="G217" s="17"/>
      <c r="H217" s="19">
        <f t="shared" ref="H217:H226" si="8">G217*$C217</f>
        <v>0</v>
      </c>
      <c r="I217" s="73">
        <v>0</v>
      </c>
      <c r="J217" s="15">
        <f t="shared" ref="J217:J231" si="9">I217*$C217</f>
        <v>0</v>
      </c>
    </row>
    <row r="218" spans="1:15" ht="27" x14ac:dyDescent="0.35">
      <c r="A218" s="169">
        <f t="shared" si="6"/>
        <v>207</v>
      </c>
      <c r="B218" s="159" t="s">
        <v>381</v>
      </c>
      <c r="C218" s="155">
        <v>263500</v>
      </c>
      <c r="D218" s="10" t="s">
        <v>290</v>
      </c>
      <c r="E218" s="17">
        <v>1</v>
      </c>
      <c r="F218" s="19">
        <f t="shared" si="7"/>
        <v>263500</v>
      </c>
      <c r="G218" s="17"/>
      <c r="H218" s="19">
        <f t="shared" si="8"/>
        <v>0</v>
      </c>
      <c r="I218" s="73">
        <v>0</v>
      </c>
      <c r="J218" s="15">
        <f t="shared" si="9"/>
        <v>0</v>
      </c>
    </row>
    <row r="219" spans="1:15" ht="27" x14ac:dyDescent="0.35">
      <c r="A219" s="169">
        <f t="shared" si="6"/>
        <v>208</v>
      </c>
      <c r="B219" s="159" t="s">
        <v>382</v>
      </c>
      <c r="C219" s="155">
        <v>410000</v>
      </c>
      <c r="D219" s="10" t="s">
        <v>290</v>
      </c>
      <c r="E219" s="17"/>
      <c r="F219" s="19">
        <f t="shared" si="7"/>
        <v>0</v>
      </c>
      <c r="G219" s="17">
        <v>1</v>
      </c>
      <c r="H219" s="19">
        <f t="shared" si="8"/>
        <v>410000</v>
      </c>
      <c r="I219" s="73">
        <v>0</v>
      </c>
      <c r="J219" s="15">
        <f t="shared" si="9"/>
        <v>0</v>
      </c>
    </row>
    <row r="220" spans="1:15" ht="27" x14ac:dyDescent="0.35">
      <c r="A220" s="169">
        <f t="shared" si="6"/>
        <v>209</v>
      </c>
      <c r="B220" s="159" t="s">
        <v>383</v>
      </c>
      <c r="C220" s="155">
        <f>(120000+25000)*1.1</f>
        <v>159500</v>
      </c>
      <c r="D220" s="10" t="s">
        <v>290</v>
      </c>
      <c r="E220" s="17">
        <v>3</v>
      </c>
      <c r="F220" s="19">
        <f t="shared" si="7"/>
        <v>478500</v>
      </c>
      <c r="G220" s="17">
        <v>3</v>
      </c>
      <c r="H220" s="19">
        <f t="shared" si="8"/>
        <v>478500</v>
      </c>
      <c r="I220" s="73">
        <v>0</v>
      </c>
      <c r="J220" s="15">
        <f t="shared" si="9"/>
        <v>0</v>
      </c>
      <c r="O220" s="2">
        <f>145000/11000</f>
        <v>13.181818181818182</v>
      </c>
    </row>
    <row r="221" spans="1:15" x14ac:dyDescent="0.35">
      <c r="A221" s="169">
        <f t="shared" si="6"/>
        <v>210</v>
      </c>
      <c r="B221" s="159" t="s">
        <v>384</v>
      </c>
      <c r="C221" s="155">
        <f>600*110</f>
        <v>66000</v>
      </c>
      <c r="D221" s="10" t="s">
        <v>31</v>
      </c>
      <c r="E221" s="17">
        <v>1</v>
      </c>
      <c r="F221" s="19">
        <f t="shared" si="7"/>
        <v>66000</v>
      </c>
      <c r="G221" s="17"/>
      <c r="H221" s="19">
        <f t="shared" si="8"/>
        <v>0</v>
      </c>
      <c r="I221" s="73">
        <v>0</v>
      </c>
      <c r="J221" s="15">
        <f t="shared" si="9"/>
        <v>0</v>
      </c>
    </row>
    <row r="222" spans="1:15" x14ac:dyDescent="0.35">
      <c r="A222" s="169">
        <f t="shared" si="6"/>
        <v>211</v>
      </c>
      <c r="B222" s="159" t="s">
        <v>385</v>
      </c>
      <c r="C222" s="155">
        <v>260000</v>
      </c>
      <c r="D222" s="10" t="s">
        <v>290</v>
      </c>
      <c r="E222" s="17"/>
      <c r="F222" s="19">
        <f t="shared" si="7"/>
        <v>0</v>
      </c>
      <c r="G222" s="17"/>
      <c r="H222" s="19">
        <f t="shared" si="8"/>
        <v>0</v>
      </c>
      <c r="I222" s="73">
        <v>1</v>
      </c>
      <c r="J222" s="15">
        <f t="shared" si="9"/>
        <v>260000</v>
      </c>
    </row>
    <row r="223" spans="1:15" ht="27" x14ac:dyDescent="0.35">
      <c r="A223" s="169">
        <f t="shared" si="6"/>
        <v>212</v>
      </c>
      <c r="B223" s="159" t="s">
        <v>386</v>
      </c>
      <c r="C223" s="155">
        <v>174000</v>
      </c>
      <c r="D223" s="10" t="s">
        <v>290</v>
      </c>
      <c r="E223" s="17"/>
      <c r="F223" s="19">
        <f t="shared" si="7"/>
        <v>0</v>
      </c>
      <c r="G223" s="17"/>
      <c r="H223" s="19">
        <f t="shared" si="8"/>
        <v>0</v>
      </c>
      <c r="I223" s="73">
        <v>1</v>
      </c>
      <c r="J223" s="15">
        <f t="shared" si="9"/>
        <v>174000</v>
      </c>
    </row>
    <row r="224" spans="1:15" x14ac:dyDescent="0.35">
      <c r="A224" s="169">
        <f t="shared" si="6"/>
        <v>213</v>
      </c>
      <c r="B224" s="159" t="s">
        <v>387</v>
      </c>
      <c r="C224" s="155">
        <v>3500</v>
      </c>
      <c r="D224" s="10" t="s">
        <v>290</v>
      </c>
      <c r="E224" s="17"/>
      <c r="F224" s="19">
        <f t="shared" si="7"/>
        <v>0</v>
      </c>
      <c r="G224" s="17"/>
      <c r="H224" s="19">
        <f t="shared" si="8"/>
        <v>0</v>
      </c>
      <c r="I224" s="73">
        <v>33</v>
      </c>
      <c r="J224" s="15">
        <f t="shared" si="9"/>
        <v>115500</v>
      </c>
    </row>
    <row r="225" spans="1:15" x14ac:dyDescent="0.35">
      <c r="A225" s="169">
        <f t="shared" si="6"/>
        <v>214</v>
      </c>
      <c r="B225" s="159" t="s">
        <v>388</v>
      </c>
      <c r="C225" s="155">
        <v>4500</v>
      </c>
      <c r="D225" s="10" t="s">
        <v>290</v>
      </c>
      <c r="E225" s="17"/>
      <c r="F225" s="19">
        <f t="shared" si="7"/>
        <v>0</v>
      </c>
      <c r="G225" s="17"/>
      <c r="H225" s="19">
        <f t="shared" si="8"/>
        <v>0</v>
      </c>
      <c r="I225" s="73">
        <v>6</v>
      </c>
      <c r="J225" s="15">
        <f t="shared" si="9"/>
        <v>27000</v>
      </c>
    </row>
    <row r="226" spans="1:15" x14ac:dyDescent="0.35">
      <c r="A226" s="169">
        <f t="shared" si="6"/>
        <v>215</v>
      </c>
      <c r="B226" s="159" t="s">
        <v>389</v>
      </c>
      <c r="C226" s="155">
        <v>5500</v>
      </c>
      <c r="D226" s="10" t="s">
        <v>290</v>
      </c>
      <c r="E226" s="17"/>
      <c r="F226" s="19">
        <f t="shared" si="7"/>
        <v>0</v>
      </c>
      <c r="G226" s="17"/>
      <c r="H226" s="19">
        <f t="shared" si="8"/>
        <v>0</v>
      </c>
      <c r="I226" s="73">
        <v>12</v>
      </c>
      <c r="J226" s="15">
        <f t="shared" si="9"/>
        <v>66000</v>
      </c>
    </row>
    <row r="227" spans="1:15" x14ac:dyDescent="0.35">
      <c r="A227" s="169">
        <f t="shared" si="6"/>
        <v>216</v>
      </c>
      <c r="B227" s="159" t="s">
        <v>390</v>
      </c>
      <c r="C227" s="11">
        <v>180</v>
      </c>
      <c r="D227" s="10" t="s">
        <v>300</v>
      </c>
      <c r="E227" s="17">
        <v>0</v>
      </c>
      <c r="F227" s="19">
        <f t="shared" si="7"/>
        <v>0</v>
      </c>
      <c r="G227" s="17"/>
      <c r="H227" s="19">
        <f>G227*$C226</f>
        <v>0</v>
      </c>
      <c r="I227" s="156">
        <v>2500</v>
      </c>
      <c r="J227" s="15">
        <f t="shared" si="9"/>
        <v>450000</v>
      </c>
    </row>
    <row r="228" spans="1:15" x14ac:dyDescent="0.35">
      <c r="A228" s="169">
        <f t="shared" si="6"/>
        <v>217</v>
      </c>
      <c r="B228" s="159" t="s">
        <v>391</v>
      </c>
      <c r="C228" s="11">
        <v>105</v>
      </c>
      <c r="D228" s="10" t="s">
        <v>300</v>
      </c>
      <c r="E228" s="17">
        <v>0</v>
      </c>
      <c r="F228" s="19">
        <f t="shared" si="7"/>
        <v>0</v>
      </c>
      <c r="G228" s="17"/>
      <c r="H228" s="19">
        <f>G228*$C227</f>
        <v>0</v>
      </c>
      <c r="I228" s="156">
        <v>2000</v>
      </c>
      <c r="J228" s="15">
        <f t="shared" si="9"/>
        <v>210000</v>
      </c>
    </row>
    <row r="229" spans="1:15" x14ac:dyDescent="0.35">
      <c r="A229" s="169">
        <f t="shared" si="6"/>
        <v>218</v>
      </c>
      <c r="B229" s="159" t="s">
        <v>392</v>
      </c>
      <c r="C229" s="11">
        <f>35*30+500+600+1000</f>
        <v>3150</v>
      </c>
      <c r="D229" s="10" t="s">
        <v>290</v>
      </c>
      <c r="E229" s="17">
        <v>0</v>
      </c>
      <c r="F229" s="19">
        <f t="shared" si="7"/>
        <v>0</v>
      </c>
      <c r="G229" s="17"/>
      <c r="H229" s="19">
        <f>G229*$C228</f>
        <v>0</v>
      </c>
      <c r="I229" s="156">
        <v>51</v>
      </c>
      <c r="J229" s="15">
        <f t="shared" si="9"/>
        <v>160650</v>
      </c>
    </row>
    <row r="230" spans="1:15" x14ac:dyDescent="0.35">
      <c r="A230" s="169">
        <f t="shared" si="6"/>
        <v>219</v>
      </c>
      <c r="B230" s="159" t="s">
        <v>393</v>
      </c>
      <c r="C230" s="11">
        <f>51*35*50</f>
        <v>89250</v>
      </c>
      <c r="D230" s="10" t="s">
        <v>31</v>
      </c>
      <c r="E230" s="17">
        <v>0</v>
      </c>
      <c r="F230" s="19">
        <f t="shared" si="7"/>
        <v>0</v>
      </c>
      <c r="G230" s="17"/>
      <c r="H230" s="19">
        <f>G230*$C229</f>
        <v>0</v>
      </c>
      <c r="I230" s="156">
        <v>1</v>
      </c>
      <c r="J230" s="15">
        <f t="shared" si="9"/>
        <v>89250</v>
      </c>
    </row>
    <row r="231" spans="1:15" x14ac:dyDescent="0.35">
      <c r="A231" s="169">
        <f t="shared" si="6"/>
        <v>220</v>
      </c>
      <c r="B231" s="159" t="s">
        <v>395</v>
      </c>
      <c r="C231" s="11">
        <v>30000</v>
      </c>
      <c r="D231" s="10" t="s">
        <v>290</v>
      </c>
      <c r="E231" s="17">
        <v>0</v>
      </c>
      <c r="F231" s="19">
        <f t="shared" si="7"/>
        <v>0</v>
      </c>
      <c r="G231" s="17">
        <v>1</v>
      </c>
      <c r="H231" s="19">
        <f>G231*$C231</f>
        <v>30000</v>
      </c>
      <c r="I231" s="156">
        <v>1</v>
      </c>
      <c r="J231" s="15">
        <f t="shared" si="9"/>
        <v>30000</v>
      </c>
    </row>
    <row r="232" spans="1:15" x14ac:dyDescent="0.35">
      <c r="A232" s="169">
        <f t="shared" si="6"/>
        <v>221</v>
      </c>
      <c r="B232" s="154"/>
      <c r="C232" s="157"/>
      <c r="D232" s="10"/>
      <c r="E232" s="17"/>
      <c r="F232" s="19"/>
      <c r="G232" s="17"/>
      <c r="H232" s="19"/>
      <c r="I232" s="73"/>
      <c r="J232" s="15"/>
    </row>
    <row r="233" spans="1:15" x14ac:dyDescent="0.35">
      <c r="A233" s="169">
        <f t="shared" si="6"/>
        <v>222</v>
      </c>
      <c r="B233" s="154" t="s">
        <v>288</v>
      </c>
      <c r="C233" s="157"/>
      <c r="D233" s="10"/>
      <c r="E233" s="17"/>
      <c r="F233" s="19">
        <f t="shared" ref="F233:F250" si="10">E233*$C233</f>
        <v>0</v>
      </c>
      <c r="G233" s="17"/>
      <c r="H233" s="19">
        <f t="shared" ref="H233:H241" si="11">G233*$C233</f>
        <v>0</v>
      </c>
      <c r="I233" s="73"/>
      <c r="J233" s="15">
        <f t="shared" ref="J233:J240" si="12">I233*$C233</f>
        <v>0</v>
      </c>
    </row>
    <row r="234" spans="1:15" x14ac:dyDescent="0.35">
      <c r="A234" s="169">
        <f t="shared" si="6"/>
        <v>223</v>
      </c>
      <c r="B234" s="158" t="s">
        <v>396</v>
      </c>
      <c r="C234" s="11">
        <v>-215198</v>
      </c>
      <c r="D234" s="10" t="s">
        <v>31</v>
      </c>
      <c r="E234" s="17">
        <v>1</v>
      </c>
      <c r="F234" s="19">
        <f t="shared" si="10"/>
        <v>-215198</v>
      </c>
      <c r="G234" s="17">
        <v>1</v>
      </c>
      <c r="H234" s="19">
        <f t="shared" si="11"/>
        <v>-215198</v>
      </c>
      <c r="I234" s="73">
        <v>1</v>
      </c>
      <c r="J234" s="15">
        <f t="shared" si="12"/>
        <v>-215198</v>
      </c>
    </row>
    <row r="235" spans="1:15" x14ac:dyDescent="0.35">
      <c r="A235" s="169">
        <f t="shared" si="6"/>
        <v>224</v>
      </c>
      <c r="B235" s="158" t="s">
        <v>397</v>
      </c>
      <c r="C235" s="11">
        <v>-151680.25</v>
      </c>
      <c r="D235" s="10" t="s">
        <v>290</v>
      </c>
      <c r="E235" s="17">
        <v>2</v>
      </c>
      <c r="F235" s="19">
        <f t="shared" si="10"/>
        <v>-303360.5</v>
      </c>
      <c r="G235" s="17">
        <v>2</v>
      </c>
      <c r="H235" s="19">
        <f t="shared" si="11"/>
        <v>-303360.5</v>
      </c>
      <c r="I235" s="73">
        <v>2</v>
      </c>
      <c r="J235" s="15">
        <f t="shared" si="12"/>
        <v>-303360.5</v>
      </c>
    </row>
    <row r="236" spans="1:15" ht="27" x14ac:dyDescent="0.35">
      <c r="A236" s="169">
        <f t="shared" si="6"/>
        <v>225</v>
      </c>
      <c r="B236" s="159" t="s">
        <v>398</v>
      </c>
      <c r="C236" s="11">
        <v>-283927.57</v>
      </c>
      <c r="D236" s="10" t="s">
        <v>290</v>
      </c>
      <c r="E236" s="17">
        <v>3</v>
      </c>
      <c r="F236" s="19">
        <f t="shared" si="10"/>
        <v>-851782.71</v>
      </c>
      <c r="G236" s="17">
        <v>3</v>
      </c>
      <c r="H236" s="19">
        <f t="shared" si="11"/>
        <v>-851782.71</v>
      </c>
      <c r="I236" s="73">
        <v>3</v>
      </c>
      <c r="J236" s="15">
        <f t="shared" si="12"/>
        <v>-851782.71</v>
      </c>
      <c r="O236" s="163">
        <f>C236/15900</f>
        <v>-17.857079874213838</v>
      </c>
    </row>
    <row r="237" spans="1:15" x14ac:dyDescent="0.35">
      <c r="A237" s="169">
        <f t="shared" si="6"/>
        <v>226</v>
      </c>
      <c r="B237" s="159" t="s">
        <v>399</v>
      </c>
      <c r="C237" s="11">
        <v>-15770.25</v>
      </c>
      <c r="D237" s="10" t="s">
        <v>290</v>
      </c>
      <c r="E237" s="17">
        <v>2</v>
      </c>
      <c r="F237" s="19">
        <f t="shared" si="10"/>
        <v>-31540.5</v>
      </c>
      <c r="G237" s="17">
        <v>2</v>
      </c>
      <c r="H237" s="19">
        <f t="shared" si="11"/>
        <v>-31540.5</v>
      </c>
      <c r="I237" s="73">
        <v>2</v>
      </c>
      <c r="J237" s="15">
        <f t="shared" si="12"/>
        <v>-31540.5</v>
      </c>
    </row>
    <row r="238" spans="1:15" x14ac:dyDescent="0.35">
      <c r="A238" s="169">
        <f t="shared" si="6"/>
        <v>227</v>
      </c>
      <c r="B238" s="159" t="s">
        <v>400</v>
      </c>
      <c r="C238" s="11">
        <v>-26445</v>
      </c>
      <c r="D238" s="10" t="s">
        <v>290</v>
      </c>
      <c r="E238" s="17">
        <v>2</v>
      </c>
      <c r="F238" s="19">
        <f t="shared" si="10"/>
        <v>-52890</v>
      </c>
      <c r="G238" s="17">
        <v>2</v>
      </c>
      <c r="H238" s="19">
        <f t="shared" si="11"/>
        <v>-52890</v>
      </c>
      <c r="I238" s="73">
        <v>2</v>
      </c>
      <c r="J238" s="15">
        <f t="shared" si="12"/>
        <v>-52890</v>
      </c>
    </row>
    <row r="239" spans="1:15" x14ac:dyDescent="0.35">
      <c r="A239" s="169">
        <f t="shared" si="6"/>
        <v>228</v>
      </c>
      <c r="B239" s="159" t="s">
        <v>401</v>
      </c>
      <c r="C239" s="11">
        <f>-90000</f>
        <v>-90000</v>
      </c>
      <c r="D239" s="10" t="s">
        <v>31</v>
      </c>
      <c r="E239" s="17">
        <v>1</v>
      </c>
      <c r="F239" s="19">
        <f t="shared" si="10"/>
        <v>-90000</v>
      </c>
      <c r="G239" s="17">
        <v>1</v>
      </c>
      <c r="H239" s="19">
        <f t="shared" si="11"/>
        <v>-90000</v>
      </c>
      <c r="I239" s="73">
        <v>1</v>
      </c>
      <c r="J239" s="15">
        <f t="shared" si="12"/>
        <v>-90000</v>
      </c>
    </row>
    <row r="240" spans="1:15" x14ac:dyDescent="0.35">
      <c r="A240" s="169">
        <f t="shared" si="6"/>
        <v>229</v>
      </c>
      <c r="B240" s="159" t="s">
        <v>402</v>
      </c>
      <c r="C240" s="11">
        <v>-85734</v>
      </c>
      <c r="D240" s="10" t="s">
        <v>31</v>
      </c>
      <c r="E240" s="17">
        <v>1</v>
      </c>
      <c r="F240" s="19">
        <f t="shared" si="10"/>
        <v>-85734</v>
      </c>
      <c r="G240" s="17">
        <v>1</v>
      </c>
      <c r="H240" s="19">
        <f t="shared" si="11"/>
        <v>-85734</v>
      </c>
      <c r="I240" s="73">
        <v>1</v>
      </c>
      <c r="J240" s="15">
        <f t="shared" si="12"/>
        <v>-85734</v>
      </c>
    </row>
    <row r="241" spans="1:12" x14ac:dyDescent="0.35">
      <c r="A241" s="169">
        <f t="shared" si="6"/>
        <v>230</v>
      </c>
      <c r="B241" s="159" t="s">
        <v>403</v>
      </c>
      <c r="C241" s="11">
        <f>-1094980*0.075</f>
        <v>-82123.5</v>
      </c>
      <c r="D241" s="10" t="s">
        <v>31</v>
      </c>
      <c r="E241" s="17">
        <v>1</v>
      </c>
      <c r="F241" s="19">
        <f t="shared" si="10"/>
        <v>-82123.5</v>
      </c>
      <c r="G241" s="17">
        <v>1</v>
      </c>
      <c r="H241" s="19">
        <f t="shared" si="11"/>
        <v>-82123.5</v>
      </c>
      <c r="I241" s="73"/>
      <c r="J241" s="15">
        <f>I241*$C240</f>
        <v>0</v>
      </c>
    </row>
    <row r="242" spans="1:12" x14ac:dyDescent="0.35">
      <c r="A242" s="169">
        <f t="shared" si="6"/>
        <v>231</v>
      </c>
      <c r="B242" s="159" t="s">
        <v>404</v>
      </c>
      <c r="C242" s="11">
        <f>-(1094980*0.6)</f>
        <v>-656988</v>
      </c>
      <c r="D242" s="10" t="s">
        <v>31</v>
      </c>
      <c r="E242" s="17"/>
      <c r="F242" s="19">
        <f t="shared" si="10"/>
        <v>0</v>
      </c>
      <c r="G242" s="17"/>
      <c r="H242" s="19">
        <f>G242*$C241</f>
        <v>0</v>
      </c>
      <c r="I242" s="73">
        <v>1</v>
      </c>
      <c r="J242" s="15">
        <f t="shared" ref="J242:J250" si="13">I242*$C242</f>
        <v>-656988</v>
      </c>
    </row>
    <row r="243" spans="1:12" ht="27" x14ac:dyDescent="0.35">
      <c r="A243" s="169">
        <f t="shared" si="6"/>
        <v>232</v>
      </c>
      <c r="B243" s="159" t="s">
        <v>405</v>
      </c>
      <c r="C243" s="11">
        <f>-(149969*0.25)</f>
        <v>-37492.25</v>
      </c>
      <c r="D243" s="10" t="s">
        <v>31</v>
      </c>
      <c r="E243" s="17"/>
      <c r="F243" s="19">
        <f t="shared" si="10"/>
        <v>0</v>
      </c>
      <c r="G243" s="17"/>
      <c r="H243" s="19">
        <f>G243*$C243</f>
        <v>0</v>
      </c>
      <c r="I243" s="73">
        <v>1</v>
      </c>
      <c r="J243" s="15">
        <f t="shared" si="13"/>
        <v>-37492.25</v>
      </c>
    </row>
    <row r="244" spans="1:12" x14ac:dyDescent="0.35">
      <c r="A244" s="169">
        <f t="shared" si="6"/>
        <v>233</v>
      </c>
      <c r="B244" s="159" t="s">
        <v>406</v>
      </c>
      <c r="C244" s="11">
        <f>-137498</f>
        <v>-137498</v>
      </c>
      <c r="D244" s="10" t="s">
        <v>31</v>
      </c>
      <c r="E244" s="17"/>
      <c r="F244" s="19">
        <f t="shared" si="10"/>
        <v>0</v>
      </c>
      <c r="G244" s="17"/>
      <c r="H244" s="19">
        <f>G244*$C242</f>
        <v>0</v>
      </c>
      <c r="I244" s="73">
        <v>1</v>
      </c>
      <c r="J244" s="15">
        <f t="shared" si="13"/>
        <v>-137498</v>
      </c>
    </row>
    <row r="245" spans="1:12" x14ac:dyDescent="0.35">
      <c r="A245" s="169">
        <f t="shared" si="6"/>
        <v>234</v>
      </c>
      <c r="B245" s="159" t="s">
        <v>407</v>
      </c>
      <c r="C245" s="11">
        <f>-61646</f>
        <v>-61646</v>
      </c>
      <c r="D245" s="10" t="s">
        <v>31</v>
      </c>
      <c r="E245" s="17">
        <v>1</v>
      </c>
      <c r="F245" s="19">
        <f t="shared" si="10"/>
        <v>-61646</v>
      </c>
      <c r="G245" s="17">
        <v>1</v>
      </c>
      <c r="H245" s="19">
        <f>G245*$C245</f>
        <v>-61646</v>
      </c>
      <c r="I245" s="73">
        <v>1</v>
      </c>
      <c r="J245" s="15">
        <f t="shared" si="13"/>
        <v>-61646</v>
      </c>
    </row>
    <row r="246" spans="1:12" x14ac:dyDescent="0.35">
      <c r="A246" s="169">
        <f t="shared" si="6"/>
        <v>235</v>
      </c>
      <c r="B246" s="159" t="s">
        <v>408</v>
      </c>
      <c r="C246" s="11">
        <f>-(20963+42355)</f>
        <v>-63318</v>
      </c>
      <c r="D246" s="10" t="s">
        <v>31</v>
      </c>
      <c r="E246" s="17">
        <v>1</v>
      </c>
      <c r="F246" s="19">
        <f t="shared" si="10"/>
        <v>-63318</v>
      </c>
      <c r="G246" s="17">
        <v>1</v>
      </c>
      <c r="H246" s="19">
        <f>G246*$C246</f>
        <v>-63318</v>
      </c>
      <c r="I246" s="73">
        <v>1</v>
      </c>
      <c r="J246" s="15">
        <f t="shared" si="13"/>
        <v>-63318</v>
      </c>
    </row>
    <row r="247" spans="1:12" x14ac:dyDescent="0.35">
      <c r="A247" s="169">
        <f t="shared" si="6"/>
        <v>236</v>
      </c>
      <c r="B247" s="159" t="s">
        <v>409</v>
      </c>
      <c r="C247" s="11">
        <f>-(521288)</f>
        <v>-521288</v>
      </c>
      <c r="D247" s="10" t="s">
        <v>31</v>
      </c>
      <c r="E247" s="17"/>
      <c r="F247" s="19">
        <f t="shared" si="10"/>
        <v>0</v>
      </c>
      <c r="G247" s="17"/>
      <c r="H247" s="19">
        <f>G247*$C246</f>
        <v>0</v>
      </c>
      <c r="I247" s="73">
        <v>1</v>
      </c>
      <c r="J247" s="15">
        <f t="shared" si="13"/>
        <v>-521288</v>
      </c>
    </row>
    <row r="248" spans="1:12" x14ac:dyDescent="0.35">
      <c r="A248" s="169">
        <f t="shared" si="6"/>
        <v>237</v>
      </c>
      <c r="B248" s="159" t="s">
        <v>410</v>
      </c>
      <c r="C248" s="11">
        <f>-(228069)</f>
        <v>-228069</v>
      </c>
      <c r="D248" s="10" t="s">
        <v>31</v>
      </c>
      <c r="E248" s="17"/>
      <c r="F248" s="19">
        <f t="shared" si="10"/>
        <v>0</v>
      </c>
      <c r="G248" s="17"/>
      <c r="H248" s="19">
        <f>G248*$C247</f>
        <v>0</v>
      </c>
      <c r="I248" s="73">
        <v>1</v>
      </c>
      <c r="J248" s="15">
        <f t="shared" si="13"/>
        <v>-228069</v>
      </c>
    </row>
    <row r="249" spans="1:12" ht="27" x14ac:dyDescent="0.35">
      <c r="A249" s="169">
        <f t="shared" si="6"/>
        <v>238</v>
      </c>
      <c r="B249" s="159" t="s">
        <v>411</v>
      </c>
      <c r="C249" s="11">
        <f>-28020</f>
        <v>-28020</v>
      </c>
      <c r="D249" s="10" t="s">
        <v>31</v>
      </c>
      <c r="E249" s="17"/>
      <c r="F249" s="19">
        <f t="shared" si="10"/>
        <v>0</v>
      </c>
      <c r="G249" s="17"/>
      <c r="H249" s="19">
        <f>G249*$C248</f>
        <v>0</v>
      </c>
      <c r="I249" s="73">
        <v>1</v>
      </c>
      <c r="J249" s="15">
        <f t="shared" si="13"/>
        <v>-28020</v>
      </c>
    </row>
    <row r="250" spans="1:12" ht="27" x14ac:dyDescent="0.35">
      <c r="A250" s="169">
        <f t="shared" si="6"/>
        <v>239</v>
      </c>
      <c r="B250" s="159" t="s">
        <v>394</v>
      </c>
      <c r="C250" s="11">
        <v>-90000</v>
      </c>
      <c r="D250" s="10" t="s">
        <v>31</v>
      </c>
      <c r="E250" s="17"/>
      <c r="F250" s="19">
        <f t="shared" si="10"/>
        <v>0</v>
      </c>
      <c r="G250" s="17"/>
      <c r="H250" s="19">
        <f>G250*$C247</f>
        <v>0</v>
      </c>
      <c r="I250" s="73">
        <v>1</v>
      </c>
      <c r="J250" s="15">
        <f t="shared" si="13"/>
        <v>-90000</v>
      </c>
    </row>
    <row r="251" spans="1:12" x14ac:dyDescent="0.35">
      <c r="A251" s="169">
        <f t="shared" si="6"/>
        <v>240</v>
      </c>
      <c r="B251" s="159"/>
      <c r="C251" s="11"/>
      <c r="D251" s="10"/>
      <c r="E251" s="17"/>
      <c r="F251" s="19"/>
      <c r="G251" s="17"/>
      <c r="H251" s="19"/>
      <c r="I251" s="73"/>
      <c r="J251" s="15"/>
    </row>
    <row r="252" spans="1:12" ht="27" x14ac:dyDescent="0.35">
      <c r="A252" s="169">
        <f t="shared" si="6"/>
        <v>241</v>
      </c>
      <c r="B252" s="160" t="s">
        <v>356</v>
      </c>
      <c r="C252" s="11"/>
      <c r="D252" s="10"/>
      <c r="E252" s="17"/>
      <c r="F252" s="15"/>
      <c r="G252" s="17"/>
      <c r="H252" s="15"/>
      <c r="I252" s="73"/>
      <c r="J252" s="15"/>
      <c r="L252" s="129"/>
    </row>
    <row r="253" spans="1:12" x14ac:dyDescent="0.35">
      <c r="A253" s="169">
        <f t="shared" si="6"/>
        <v>242</v>
      </c>
      <c r="B253" s="121" t="s">
        <v>288</v>
      </c>
      <c r="C253" s="11"/>
      <c r="D253" s="10"/>
      <c r="E253" s="17"/>
      <c r="F253" s="15"/>
      <c r="G253" s="17"/>
      <c r="H253" s="15"/>
      <c r="I253" s="73"/>
      <c r="J253" s="15"/>
      <c r="L253" s="129"/>
    </row>
    <row r="254" spans="1:12" x14ac:dyDescent="0.35">
      <c r="A254" s="169">
        <f t="shared" si="6"/>
        <v>243</v>
      </c>
      <c r="B254" s="9"/>
      <c r="C254" s="11"/>
      <c r="D254" s="10"/>
      <c r="E254" s="17"/>
      <c r="F254" s="17"/>
      <c r="G254" s="17"/>
      <c r="H254" s="17"/>
      <c r="I254" s="73"/>
      <c r="J254" s="18"/>
      <c r="L254" s="129"/>
    </row>
    <row r="255" spans="1:12" ht="40.5" x14ac:dyDescent="0.35">
      <c r="A255" s="169">
        <f t="shared" si="6"/>
        <v>244</v>
      </c>
      <c r="B255" s="146" t="s">
        <v>357</v>
      </c>
      <c r="C255" s="130">
        <v>35</v>
      </c>
      <c r="D255" s="131" t="s">
        <v>89</v>
      </c>
      <c r="E255" s="134"/>
      <c r="F255" s="135">
        <f>E255*$C255</f>
        <v>0</v>
      </c>
      <c r="G255" s="134">
        <f>-(820+460)</f>
        <v>-1280</v>
      </c>
      <c r="H255" s="135">
        <f>G255*$C255</f>
        <v>-44800</v>
      </c>
      <c r="I255" s="134">
        <f>-(820+460)</f>
        <v>-1280</v>
      </c>
      <c r="J255" s="164">
        <f>I255*$C255</f>
        <v>-44800</v>
      </c>
      <c r="L255" s="129" t="s">
        <v>305</v>
      </c>
    </row>
    <row r="256" spans="1:12" x14ac:dyDescent="0.35">
      <c r="A256" s="169">
        <f t="shared" si="6"/>
        <v>245</v>
      </c>
      <c r="B256" s="9"/>
      <c r="C256" s="11"/>
      <c r="D256" s="10"/>
      <c r="E256" s="17"/>
      <c r="F256" s="17"/>
      <c r="G256" s="17"/>
      <c r="H256" s="17"/>
      <c r="I256" s="73"/>
      <c r="J256" s="18"/>
      <c r="L256" s="129"/>
    </row>
    <row r="257" spans="1:10" x14ac:dyDescent="0.35">
      <c r="A257" s="169">
        <f t="shared" si="6"/>
        <v>246</v>
      </c>
      <c r="B257" s="13" t="s">
        <v>98</v>
      </c>
      <c r="C257" s="11">
        <v>5775993</v>
      </c>
      <c r="D257" s="10" t="s">
        <v>89</v>
      </c>
      <c r="E257" s="17">
        <v>1</v>
      </c>
      <c r="F257" s="19">
        <f>E257*$C257</f>
        <v>5775993</v>
      </c>
      <c r="G257" s="17">
        <v>1</v>
      </c>
      <c r="H257" s="19">
        <f>G257*$C257</f>
        <v>5775993</v>
      </c>
      <c r="I257" s="73">
        <v>1</v>
      </c>
      <c r="J257" s="15">
        <f>I257*$C257</f>
        <v>5775993</v>
      </c>
    </row>
    <row r="258" spans="1:10" x14ac:dyDescent="0.35">
      <c r="A258" s="169">
        <f t="shared" si="6"/>
        <v>247</v>
      </c>
      <c r="B258" s="9"/>
      <c r="C258" s="11"/>
      <c r="D258" s="10"/>
      <c r="E258" s="17"/>
      <c r="F258" s="20" t="s">
        <v>6</v>
      </c>
      <c r="G258" s="17"/>
      <c r="H258" s="20" t="s">
        <v>6</v>
      </c>
      <c r="I258" s="73"/>
      <c r="J258" s="20" t="s">
        <v>6</v>
      </c>
    </row>
    <row r="259" spans="1:10" x14ac:dyDescent="0.35">
      <c r="A259" s="169">
        <f t="shared" si="6"/>
        <v>248</v>
      </c>
      <c r="B259" s="13" t="str">
        <f>"Subtotal " &amp; B214</f>
        <v>Subtotal 23-00-00 Heating, Ventilation, &amp; Air Conditioning (HVAC)</v>
      </c>
      <c r="C259" s="11"/>
      <c r="D259" s="10"/>
      <c r="E259" s="17"/>
      <c r="F259" s="15">
        <f>SUM(F214:F258)</f>
        <v>4796399.79</v>
      </c>
      <c r="G259" s="17"/>
      <c r="H259" s="15">
        <f>SUM(H214:H258)</f>
        <v>4812099.79</v>
      </c>
      <c r="I259" s="73"/>
      <c r="J259" s="15">
        <f>SUM(J214:J258)</f>
        <v>3858768.04</v>
      </c>
    </row>
    <row r="260" spans="1:10" x14ac:dyDescent="0.35">
      <c r="A260" s="169">
        <f t="shared" si="6"/>
        <v>249</v>
      </c>
      <c r="B260" s="13"/>
      <c r="C260" s="11"/>
      <c r="D260" s="10"/>
      <c r="E260" s="17"/>
      <c r="F260" s="15"/>
      <c r="G260" s="17"/>
      <c r="H260" s="15"/>
      <c r="I260" s="73"/>
      <c r="J260" s="15"/>
    </row>
    <row r="261" spans="1:10" x14ac:dyDescent="0.35">
      <c r="A261" s="168">
        <f t="shared" si="6"/>
        <v>250</v>
      </c>
      <c r="B261" s="62" t="s">
        <v>54</v>
      </c>
      <c r="C261" s="65"/>
      <c r="D261" s="63"/>
      <c r="E261" s="64"/>
      <c r="F261" s="64"/>
      <c r="G261" s="64"/>
      <c r="H261" s="64"/>
      <c r="I261" s="74"/>
      <c r="J261" s="42"/>
    </row>
    <row r="262" spans="1:10" x14ac:dyDescent="0.35">
      <c r="A262" s="169">
        <f t="shared" si="6"/>
        <v>251</v>
      </c>
      <c r="B262" s="9"/>
      <c r="C262" s="11"/>
      <c r="D262" s="10"/>
      <c r="E262" s="17"/>
      <c r="F262" s="17"/>
      <c r="G262" s="17"/>
      <c r="H262" s="17"/>
      <c r="I262" s="73"/>
      <c r="J262" s="18"/>
    </row>
    <row r="263" spans="1:10" x14ac:dyDescent="0.35">
      <c r="A263" s="169">
        <f t="shared" si="6"/>
        <v>252</v>
      </c>
      <c r="B263" s="9" t="s">
        <v>780</v>
      </c>
      <c r="C263" s="11"/>
      <c r="D263" s="10"/>
      <c r="E263" s="17"/>
      <c r="F263" s="17">
        <f t="shared" ref="F263:F294" si="14">E263*$C263</f>
        <v>0</v>
      </c>
      <c r="G263" s="17"/>
      <c r="H263" s="17">
        <f t="shared" ref="H263:H294" si="15">G263*$C263</f>
        <v>0</v>
      </c>
      <c r="I263" s="73"/>
      <c r="J263" s="18">
        <f t="shared" ref="J263:J294" si="16">I263*$C263</f>
        <v>0</v>
      </c>
    </row>
    <row r="264" spans="1:10" x14ac:dyDescent="0.35">
      <c r="A264" s="169">
        <f t="shared" si="6"/>
        <v>253</v>
      </c>
      <c r="B264" s="9" t="s">
        <v>424</v>
      </c>
      <c r="C264" s="11"/>
      <c r="D264" s="10"/>
      <c r="E264" s="17"/>
      <c r="F264" s="17">
        <f t="shared" si="14"/>
        <v>0</v>
      </c>
      <c r="G264" s="17"/>
      <c r="H264" s="17">
        <f t="shared" si="15"/>
        <v>0</v>
      </c>
      <c r="I264" s="73"/>
      <c r="J264" s="18">
        <f t="shared" si="16"/>
        <v>0</v>
      </c>
    </row>
    <row r="265" spans="1:10" x14ac:dyDescent="0.35">
      <c r="A265" s="169">
        <f t="shared" si="6"/>
        <v>254</v>
      </c>
      <c r="B265" s="13" t="s">
        <v>878</v>
      </c>
      <c r="C265" s="11">
        <v>2500</v>
      </c>
      <c r="D265" s="10" t="s">
        <v>290</v>
      </c>
      <c r="E265" s="17">
        <v>1</v>
      </c>
      <c r="F265" s="17">
        <f t="shared" si="14"/>
        <v>2500</v>
      </c>
      <c r="G265" s="17"/>
      <c r="H265" s="17">
        <f t="shared" si="15"/>
        <v>0</v>
      </c>
      <c r="I265" s="73"/>
      <c r="J265" s="18">
        <f t="shared" si="16"/>
        <v>0</v>
      </c>
    </row>
    <row r="266" spans="1:10" x14ac:dyDescent="0.35">
      <c r="A266" s="169">
        <f t="shared" si="6"/>
        <v>255</v>
      </c>
      <c r="B266" s="9" t="s">
        <v>875</v>
      </c>
      <c r="C266" s="11"/>
      <c r="D266" s="10"/>
      <c r="E266" s="17"/>
      <c r="F266" s="17">
        <f t="shared" si="14"/>
        <v>0</v>
      </c>
      <c r="G266" s="17"/>
      <c r="H266" s="17">
        <f t="shared" si="15"/>
        <v>0</v>
      </c>
      <c r="I266" s="73"/>
      <c r="J266" s="18">
        <f t="shared" si="16"/>
        <v>0</v>
      </c>
    </row>
    <row r="267" spans="1:10" x14ac:dyDescent="0.35">
      <c r="A267" s="169">
        <f t="shared" si="6"/>
        <v>256</v>
      </c>
      <c r="B267" s="292" t="s">
        <v>876</v>
      </c>
      <c r="C267" s="11">
        <v>27.93</v>
      </c>
      <c r="D267" s="10" t="s">
        <v>300</v>
      </c>
      <c r="E267" s="17">
        <v>150</v>
      </c>
      <c r="F267" s="17">
        <f t="shared" si="14"/>
        <v>4189.5</v>
      </c>
      <c r="G267" s="17"/>
      <c r="H267" s="17">
        <f t="shared" si="15"/>
        <v>0</v>
      </c>
      <c r="I267" s="73"/>
      <c r="J267" s="18">
        <f t="shared" si="16"/>
        <v>0</v>
      </c>
    </row>
    <row r="268" spans="1:10" x14ac:dyDescent="0.35">
      <c r="A268" s="169">
        <f t="shared" si="6"/>
        <v>257</v>
      </c>
      <c r="B268" s="292" t="s">
        <v>681</v>
      </c>
      <c r="C268" s="11">
        <v>15.5</v>
      </c>
      <c r="D268" s="10" t="s">
        <v>300</v>
      </c>
      <c r="E268" s="17">
        <v>450</v>
      </c>
      <c r="F268" s="17">
        <f t="shared" si="14"/>
        <v>6975</v>
      </c>
      <c r="G268" s="17"/>
      <c r="H268" s="17">
        <f t="shared" si="15"/>
        <v>0</v>
      </c>
      <c r="I268" s="73"/>
      <c r="J268" s="18">
        <f t="shared" si="16"/>
        <v>0</v>
      </c>
    </row>
    <row r="269" spans="1:10" x14ac:dyDescent="0.35">
      <c r="A269" s="169">
        <f t="shared" si="6"/>
        <v>258</v>
      </c>
      <c r="B269" s="292" t="s">
        <v>877</v>
      </c>
      <c r="C269" s="11">
        <v>3.95</v>
      </c>
      <c r="D269" s="10" t="s">
        <v>300</v>
      </c>
      <c r="E269" s="17">
        <v>150</v>
      </c>
      <c r="F269" s="17">
        <f t="shared" si="14"/>
        <v>592.5</v>
      </c>
      <c r="G269" s="17"/>
      <c r="H269" s="17">
        <f t="shared" si="15"/>
        <v>0</v>
      </c>
      <c r="I269" s="73"/>
      <c r="J269" s="18">
        <f t="shared" si="16"/>
        <v>0</v>
      </c>
    </row>
    <row r="270" spans="1:10" x14ac:dyDescent="0.35">
      <c r="A270" s="169">
        <f t="shared" si="6"/>
        <v>259</v>
      </c>
      <c r="B270" s="9" t="s">
        <v>425</v>
      </c>
      <c r="C270" s="11"/>
      <c r="D270" s="10"/>
      <c r="E270" s="17"/>
      <c r="F270" s="17">
        <f t="shared" si="14"/>
        <v>0</v>
      </c>
      <c r="G270" s="17"/>
      <c r="H270" s="17">
        <f t="shared" si="15"/>
        <v>0</v>
      </c>
      <c r="I270" s="73"/>
      <c r="J270" s="18">
        <f t="shared" si="16"/>
        <v>0</v>
      </c>
    </row>
    <row r="271" spans="1:10" x14ac:dyDescent="0.35">
      <c r="A271" s="169">
        <f t="shared" si="6"/>
        <v>260</v>
      </c>
      <c r="B271" s="13" t="s">
        <v>426</v>
      </c>
      <c r="C271" s="11">
        <v>1191.96</v>
      </c>
      <c r="D271" s="10" t="s">
        <v>290</v>
      </c>
      <c r="E271" s="17">
        <v>2</v>
      </c>
      <c r="F271" s="17">
        <f t="shared" si="14"/>
        <v>2383.92</v>
      </c>
      <c r="G271" s="17"/>
      <c r="H271" s="17">
        <f t="shared" si="15"/>
        <v>0</v>
      </c>
      <c r="I271" s="73"/>
      <c r="J271" s="18">
        <f t="shared" si="16"/>
        <v>0</v>
      </c>
    </row>
    <row r="272" spans="1:10" x14ac:dyDescent="0.35">
      <c r="A272" s="169">
        <f t="shared" si="6"/>
        <v>261</v>
      </c>
      <c r="B272" s="9" t="s">
        <v>427</v>
      </c>
      <c r="C272" s="11"/>
      <c r="D272" s="10"/>
      <c r="E272" s="17"/>
      <c r="F272" s="17">
        <f t="shared" si="14"/>
        <v>0</v>
      </c>
      <c r="G272" s="17"/>
      <c r="H272" s="17">
        <f t="shared" si="15"/>
        <v>0</v>
      </c>
      <c r="I272" s="73"/>
      <c r="J272" s="18">
        <f t="shared" si="16"/>
        <v>0</v>
      </c>
    </row>
    <row r="273" spans="1:10" x14ac:dyDescent="0.35">
      <c r="A273" s="169">
        <f t="shared" si="6"/>
        <v>262</v>
      </c>
      <c r="B273" s="13" t="s">
        <v>420</v>
      </c>
      <c r="C273" s="11">
        <v>11.378444999999999</v>
      </c>
      <c r="D273" s="10" t="s">
        <v>300</v>
      </c>
      <c r="E273" s="17">
        <v>55</v>
      </c>
      <c r="F273" s="17">
        <f t="shared" si="14"/>
        <v>625.8144749999999</v>
      </c>
      <c r="G273" s="17"/>
      <c r="H273" s="17">
        <f t="shared" si="15"/>
        <v>0</v>
      </c>
      <c r="I273" s="73"/>
      <c r="J273" s="18">
        <f t="shared" si="16"/>
        <v>0</v>
      </c>
    </row>
    <row r="274" spans="1:10" x14ac:dyDescent="0.35">
      <c r="A274" s="169">
        <f t="shared" si="6"/>
        <v>263</v>
      </c>
      <c r="B274" s="13" t="s">
        <v>421</v>
      </c>
      <c r="C274" s="11">
        <v>1.1848649999999998</v>
      </c>
      <c r="D274" s="10" t="s">
        <v>300</v>
      </c>
      <c r="E274" s="17">
        <v>220</v>
      </c>
      <c r="F274" s="17">
        <f t="shared" si="14"/>
        <v>260.67029999999994</v>
      </c>
      <c r="G274" s="17"/>
      <c r="H274" s="17">
        <f t="shared" si="15"/>
        <v>0</v>
      </c>
      <c r="I274" s="73"/>
      <c r="J274" s="18">
        <f t="shared" si="16"/>
        <v>0</v>
      </c>
    </row>
    <row r="275" spans="1:10" x14ac:dyDescent="0.35">
      <c r="A275" s="169">
        <f t="shared" si="6"/>
        <v>264</v>
      </c>
      <c r="B275" s="9" t="s">
        <v>428</v>
      </c>
      <c r="C275" s="11"/>
      <c r="D275" s="10"/>
      <c r="E275" s="17"/>
      <c r="F275" s="17">
        <f t="shared" si="14"/>
        <v>0</v>
      </c>
      <c r="G275" s="17"/>
      <c r="H275" s="17">
        <f t="shared" si="15"/>
        <v>0</v>
      </c>
      <c r="I275" s="73"/>
      <c r="J275" s="18">
        <f t="shared" si="16"/>
        <v>0</v>
      </c>
    </row>
    <row r="276" spans="1:10" x14ac:dyDescent="0.35">
      <c r="A276" s="169">
        <f t="shared" si="6"/>
        <v>265</v>
      </c>
      <c r="B276" s="13" t="s">
        <v>429</v>
      </c>
      <c r="C276" s="11">
        <v>3000</v>
      </c>
      <c r="D276" s="10" t="s">
        <v>290</v>
      </c>
      <c r="E276" s="17">
        <v>3</v>
      </c>
      <c r="F276" s="17">
        <f t="shared" si="14"/>
        <v>9000</v>
      </c>
      <c r="G276" s="17"/>
      <c r="H276" s="17">
        <f t="shared" si="15"/>
        <v>0</v>
      </c>
      <c r="I276" s="73"/>
      <c r="J276" s="18">
        <f t="shared" si="16"/>
        <v>0</v>
      </c>
    </row>
    <row r="277" spans="1:10" x14ac:dyDescent="0.35">
      <c r="A277" s="169">
        <f t="shared" si="6"/>
        <v>266</v>
      </c>
      <c r="B277" s="9" t="s">
        <v>430</v>
      </c>
      <c r="C277" s="11"/>
      <c r="D277" s="10"/>
      <c r="E277" s="17"/>
      <c r="F277" s="17">
        <f t="shared" si="14"/>
        <v>0</v>
      </c>
      <c r="G277" s="17"/>
      <c r="H277" s="17">
        <f t="shared" si="15"/>
        <v>0</v>
      </c>
      <c r="I277" s="73"/>
      <c r="J277" s="18">
        <f t="shared" si="16"/>
        <v>0</v>
      </c>
    </row>
    <row r="278" spans="1:10" x14ac:dyDescent="0.35">
      <c r="A278" s="169">
        <f t="shared" si="6"/>
        <v>267</v>
      </c>
      <c r="B278" s="13" t="s">
        <v>422</v>
      </c>
      <c r="C278" s="11">
        <v>13.3563375</v>
      </c>
      <c r="D278" s="10" t="s">
        <v>300</v>
      </c>
      <c r="E278" s="17">
        <v>350</v>
      </c>
      <c r="F278" s="17">
        <f t="shared" si="14"/>
        <v>4674.7181250000003</v>
      </c>
      <c r="G278" s="17"/>
      <c r="H278" s="17">
        <f t="shared" si="15"/>
        <v>0</v>
      </c>
      <c r="I278" s="73"/>
      <c r="J278" s="18">
        <f t="shared" si="16"/>
        <v>0</v>
      </c>
    </row>
    <row r="279" spans="1:10" x14ac:dyDescent="0.35">
      <c r="A279" s="169">
        <f t="shared" ref="A279:A324" si="17">ROW()-11</f>
        <v>268</v>
      </c>
      <c r="B279" s="13" t="s">
        <v>431</v>
      </c>
      <c r="C279" s="11">
        <v>3.5374499324999991</v>
      </c>
      <c r="D279" s="10" t="s">
        <v>300</v>
      </c>
      <c r="E279" s="17">
        <v>1050</v>
      </c>
      <c r="F279" s="17">
        <f t="shared" si="14"/>
        <v>3714.322429124999</v>
      </c>
      <c r="G279" s="17"/>
      <c r="H279" s="17">
        <f t="shared" si="15"/>
        <v>0</v>
      </c>
      <c r="I279" s="73"/>
      <c r="J279" s="18">
        <f t="shared" si="16"/>
        <v>0</v>
      </c>
    </row>
    <row r="280" spans="1:10" x14ac:dyDescent="0.35">
      <c r="A280" s="169">
        <f t="shared" si="17"/>
        <v>269</v>
      </c>
      <c r="B280" s="13" t="s">
        <v>432</v>
      </c>
      <c r="C280" s="11">
        <v>2.1136005</v>
      </c>
      <c r="D280" s="10" t="s">
        <v>300</v>
      </c>
      <c r="E280" s="17">
        <v>350</v>
      </c>
      <c r="F280" s="17">
        <f t="shared" si="14"/>
        <v>739.760175</v>
      </c>
      <c r="G280" s="17"/>
      <c r="H280" s="17">
        <f t="shared" si="15"/>
        <v>0</v>
      </c>
      <c r="I280" s="73"/>
      <c r="J280" s="18">
        <f t="shared" si="16"/>
        <v>0</v>
      </c>
    </row>
    <row r="281" spans="1:10" x14ac:dyDescent="0.35">
      <c r="A281" s="169">
        <f t="shared" si="17"/>
        <v>270</v>
      </c>
      <c r="B281" s="13" t="s">
        <v>433</v>
      </c>
      <c r="C281" s="11">
        <v>1100</v>
      </c>
      <c r="D281" s="10" t="s">
        <v>290</v>
      </c>
      <c r="E281" s="17">
        <v>6</v>
      </c>
      <c r="F281" s="17">
        <f t="shared" si="14"/>
        <v>6600</v>
      </c>
      <c r="G281" s="17"/>
      <c r="H281" s="17">
        <f t="shared" si="15"/>
        <v>0</v>
      </c>
      <c r="I281" s="73"/>
      <c r="J281" s="18">
        <f t="shared" si="16"/>
        <v>0</v>
      </c>
    </row>
    <row r="282" spans="1:10" x14ac:dyDescent="0.35">
      <c r="A282" s="169">
        <f t="shared" si="17"/>
        <v>271</v>
      </c>
      <c r="B282" s="9" t="s">
        <v>434</v>
      </c>
      <c r="C282" s="11"/>
      <c r="D282" s="10"/>
      <c r="E282" s="17"/>
      <c r="F282" s="17">
        <f t="shared" si="14"/>
        <v>0</v>
      </c>
      <c r="G282" s="17"/>
      <c r="H282" s="17">
        <f t="shared" si="15"/>
        <v>0</v>
      </c>
      <c r="I282" s="73"/>
      <c r="J282" s="18">
        <f t="shared" si="16"/>
        <v>0</v>
      </c>
    </row>
    <row r="283" spans="1:10" x14ac:dyDescent="0.35">
      <c r="A283" s="169">
        <f t="shared" si="17"/>
        <v>272</v>
      </c>
      <c r="B283" s="13" t="s">
        <v>420</v>
      </c>
      <c r="C283" s="11">
        <v>11.378444999999999</v>
      </c>
      <c r="D283" s="10" t="s">
        <v>300</v>
      </c>
      <c r="E283" s="17">
        <v>65</v>
      </c>
      <c r="F283" s="17">
        <f t="shared" si="14"/>
        <v>739.59892500000001</v>
      </c>
      <c r="G283" s="17"/>
      <c r="H283" s="17">
        <f t="shared" si="15"/>
        <v>0</v>
      </c>
      <c r="I283" s="73"/>
      <c r="J283" s="18">
        <f t="shared" si="16"/>
        <v>0</v>
      </c>
    </row>
    <row r="284" spans="1:10" x14ac:dyDescent="0.35">
      <c r="A284" s="169">
        <f t="shared" si="17"/>
        <v>273</v>
      </c>
      <c r="B284" s="13" t="s">
        <v>421</v>
      </c>
      <c r="C284" s="11">
        <v>1.1848649999999998</v>
      </c>
      <c r="D284" s="10" t="s">
        <v>300</v>
      </c>
      <c r="E284" s="17">
        <v>260</v>
      </c>
      <c r="F284" s="17">
        <f t="shared" si="14"/>
        <v>308.06489999999997</v>
      </c>
      <c r="G284" s="17"/>
      <c r="H284" s="17">
        <f t="shared" si="15"/>
        <v>0</v>
      </c>
      <c r="I284" s="73"/>
      <c r="J284" s="18">
        <f t="shared" si="16"/>
        <v>0</v>
      </c>
    </row>
    <row r="285" spans="1:10" x14ac:dyDescent="0.35">
      <c r="A285" s="169">
        <f t="shared" si="17"/>
        <v>274</v>
      </c>
      <c r="B285" s="13" t="s">
        <v>435</v>
      </c>
      <c r="C285" s="11">
        <v>1191.96</v>
      </c>
      <c r="D285" s="10" t="s">
        <v>290</v>
      </c>
      <c r="E285" s="17">
        <v>6</v>
      </c>
      <c r="F285" s="17">
        <f t="shared" si="14"/>
        <v>7151.76</v>
      </c>
      <c r="G285" s="17"/>
      <c r="H285" s="17">
        <f t="shared" si="15"/>
        <v>0</v>
      </c>
      <c r="I285" s="73"/>
      <c r="J285" s="18">
        <f t="shared" si="16"/>
        <v>0</v>
      </c>
    </row>
    <row r="286" spans="1:10" x14ac:dyDescent="0.35">
      <c r="A286" s="169">
        <f t="shared" si="17"/>
        <v>275</v>
      </c>
      <c r="B286" s="9" t="s">
        <v>436</v>
      </c>
      <c r="C286" s="11"/>
      <c r="D286" s="10"/>
      <c r="E286" s="17"/>
      <c r="F286" s="17">
        <f t="shared" si="14"/>
        <v>0</v>
      </c>
      <c r="G286" s="17"/>
      <c r="H286" s="17">
        <f t="shared" si="15"/>
        <v>0</v>
      </c>
      <c r="I286" s="73"/>
      <c r="J286" s="18">
        <f t="shared" si="16"/>
        <v>0</v>
      </c>
    </row>
    <row r="287" spans="1:10" x14ac:dyDescent="0.35">
      <c r="A287" s="169">
        <f t="shared" si="17"/>
        <v>276</v>
      </c>
      <c r="B287" s="13" t="s">
        <v>420</v>
      </c>
      <c r="C287" s="11">
        <v>11.378444999999999</v>
      </c>
      <c r="D287" s="10" t="s">
        <v>300</v>
      </c>
      <c r="E287" s="17">
        <v>150</v>
      </c>
      <c r="F287" s="17">
        <f t="shared" si="14"/>
        <v>1706.7667499999998</v>
      </c>
      <c r="G287" s="17"/>
      <c r="H287" s="17">
        <f t="shared" si="15"/>
        <v>0</v>
      </c>
      <c r="I287" s="73"/>
      <c r="J287" s="18">
        <f t="shared" si="16"/>
        <v>0</v>
      </c>
    </row>
    <row r="288" spans="1:10" x14ac:dyDescent="0.35">
      <c r="A288" s="169">
        <f t="shared" si="17"/>
        <v>277</v>
      </c>
      <c r="B288" s="13" t="s">
        <v>421</v>
      </c>
      <c r="C288" s="11">
        <v>1.1848649999999998</v>
      </c>
      <c r="D288" s="10" t="s">
        <v>300</v>
      </c>
      <c r="E288" s="17">
        <v>600</v>
      </c>
      <c r="F288" s="17">
        <f t="shared" si="14"/>
        <v>710.91899999999987</v>
      </c>
      <c r="G288" s="17"/>
      <c r="H288" s="17">
        <f t="shared" si="15"/>
        <v>0</v>
      </c>
      <c r="I288" s="73"/>
      <c r="J288" s="18">
        <f t="shared" si="16"/>
        <v>0</v>
      </c>
    </row>
    <row r="289" spans="1:10" x14ac:dyDescent="0.35">
      <c r="A289" s="169">
        <f t="shared" si="17"/>
        <v>278</v>
      </c>
      <c r="B289" s="9"/>
      <c r="C289" s="11"/>
      <c r="D289" s="10"/>
      <c r="E289" s="17"/>
      <c r="F289" s="17">
        <f t="shared" si="14"/>
        <v>0</v>
      </c>
      <c r="G289" s="17"/>
      <c r="H289" s="17">
        <f t="shared" si="15"/>
        <v>0</v>
      </c>
      <c r="I289" s="73"/>
      <c r="J289" s="18">
        <f t="shared" si="16"/>
        <v>0</v>
      </c>
    </row>
    <row r="290" spans="1:10" x14ac:dyDescent="0.35">
      <c r="A290" s="169">
        <f t="shared" si="17"/>
        <v>279</v>
      </c>
      <c r="B290" s="9" t="s">
        <v>437</v>
      </c>
      <c r="C290" s="11"/>
      <c r="D290" s="10"/>
      <c r="E290" s="17"/>
      <c r="F290" s="17">
        <f t="shared" si="14"/>
        <v>0</v>
      </c>
      <c r="G290" s="17"/>
      <c r="H290" s="17">
        <f t="shared" si="15"/>
        <v>0</v>
      </c>
      <c r="I290" s="73"/>
      <c r="J290" s="18">
        <f t="shared" si="16"/>
        <v>0</v>
      </c>
    </row>
    <row r="291" spans="1:10" x14ac:dyDescent="0.35">
      <c r="A291" s="169">
        <f t="shared" si="17"/>
        <v>280</v>
      </c>
      <c r="B291" s="9" t="s">
        <v>438</v>
      </c>
      <c r="C291" s="11"/>
      <c r="D291" s="10"/>
      <c r="E291" s="17"/>
      <c r="F291" s="17">
        <f t="shared" si="14"/>
        <v>0</v>
      </c>
      <c r="G291" s="17"/>
      <c r="H291" s="17">
        <f t="shared" si="15"/>
        <v>0</v>
      </c>
      <c r="I291" s="73"/>
      <c r="J291" s="18">
        <f t="shared" si="16"/>
        <v>0</v>
      </c>
    </row>
    <row r="292" spans="1:10" x14ac:dyDescent="0.35">
      <c r="A292" s="169">
        <f t="shared" si="17"/>
        <v>281</v>
      </c>
      <c r="B292" s="13" t="s">
        <v>439</v>
      </c>
      <c r="C292" s="11">
        <v>1364.6742300000001</v>
      </c>
      <c r="D292" s="10" t="s">
        <v>290</v>
      </c>
      <c r="E292" s="17">
        <v>-2</v>
      </c>
      <c r="F292" s="17">
        <f t="shared" si="14"/>
        <v>-2729.3484600000002</v>
      </c>
      <c r="G292" s="17"/>
      <c r="H292" s="17">
        <f t="shared" si="15"/>
        <v>0</v>
      </c>
      <c r="I292" s="73"/>
      <c r="J292" s="18">
        <f t="shared" si="16"/>
        <v>0</v>
      </c>
    </row>
    <row r="293" spans="1:10" x14ac:dyDescent="0.35">
      <c r="A293" s="169">
        <f t="shared" si="17"/>
        <v>282</v>
      </c>
      <c r="B293" s="9" t="s">
        <v>440</v>
      </c>
      <c r="C293" s="11"/>
      <c r="D293" s="10"/>
      <c r="E293" s="17"/>
      <c r="F293" s="17">
        <f t="shared" si="14"/>
        <v>0</v>
      </c>
      <c r="G293" s="17"/>
      <c r="H293" s="17">
        <f t="shared" si="15"/>
        <v>0</v>
      </c>
      <c r="I293" s="73"/>
      <c r="J293" s="18">
        <f t="shared" si="16"/>
        <v>0</v>
      </c>
    </row>
    <row r="294" spans="1:10" x14ac:dyDescent="0.35">
      <c r="A294" s="169">
        <f t="shared" si="17"/>
        <v>283</v>
      </c>
      <c r="B294" s="13" t="s">
        <v>441</v>
      </c>
      <c r="C294" s="11">
        <v>20.362198499999998</v>
      </c>
      <c r="D294" s="10" t="s">
        <v>300</v>
      </c>
      <c r="E294" s="17">
        <v>-300</v>
      </c>
      <c r="F294" s="17">
        <f t="shared" si="14"/>
        <v>-6108.6595499999994</v>
      </c>
      <c r="G294" s="17"/>
      <c r="H294" s="17">
        <f t="shared" si="15"/>
        <v>0</v>
      </c>
      <c r="I294" s="73"/>
      <c r="J294" s="18">
        <f t="shared" si="16"/>
        <v>0</v>
      </c>
    </row>
    <row r="295" spans="1:10" x14ac:dyDescent="0.35">
      <c r="A295" s="169">
        <f t="shared" si="17"/>
        <v>284</v>
      </c>
      <c r="B295" s="13" t="s">
        <v>442</v>
      </c>
      <c r="C295" s="11">
        <v>9.0912492</v>
      </c>
      <c r="D295" s="10" t="s">
        <v>300</v>
      </c>
      <c r="E295" s="17">
        <v>-900</v>
      </c>
      <c r="F295" s="17">
        <f t="shared" ref="F295:F321" si="18">E295*$C295</f>
        <v>-8182.12428</v>
      </c>
      <c r="G295" s="17"/>
      <c r="H295" s="17">
        <f t="shared" ref="H295:H326" si="19">G295*$C295</f>
        <v>0</v>
      </c>
      <c r="I295" s="73"/>
      <c r="J295" s="18">
        <f t="shared" ref="J295:J326" si="20">I295*$C295</f>
        <v>0</v>
      </c>
    </row>
    <row r="296" spans="1:10" x14ac:dyDescent="0.35">
      <c r="A296" s="169">
        <f t="shared" si="17"/>
        <v>285</v>
      </c>
      <c r="B296" s="13" t="s">
        <v>431</v>
      </c>
      <c r="C296" s="11">
        <v>3.5374499324999991</v>
      </c>
      <c r="D296" s="10" t="s">
        <v>300</v>
      </c>
      <c r="E296" s="17">
        <v>-300</v>
      </c>
      <c r="F296" s="17">
        <f t="shared" si="18"/>
        <v>-1061.2349797499996</v>
      </c>
      <c r="G296" s="17"/>
      <c r="H296" s="17">
        <f t="shared" si="19"/>
        <v>0</v>
      </c>
      <c r="I296" s="73"/>
      <c r="J296" s="18">
        <f t="shared" si="20"/>
        <v>0</v>
      </c>
    </row>
    <row r="297" spans="1:10" x14ac:dyDescent="0.35">
      <c r="A297" s="169">
        <f t="shared" si="17"/>
        <v>286</v>
      </c>
      <c r="B297" s="9" t="s">
        <v>443</v>
      </c>
      <c r="C297" s="11"/>
      <c r="D297" s="10"/>
      <c r="E297" s="17"/>
      <c r="F297" s="17">
        <f t="shared" si="18"/>
        <v>0</v>
      </c>
      <c r="G297" s="17"/>
      <c r="H297" s="17">
        <f t="shared" si="19"/>
        <v>0</v>
      </c>
      <c r="I297" s="73"/>
      <c r="J297" s="18">
        <f t="shared" si="20"/>
        <v>0</v>
      </c>
    </row>
    <row r="298" spans="1:10" x14ac:dyDescent="0.35">
      <c r="A298" s="169">
        <f t="shared" si="17"/>
        <v>287</v>
      </c>
      <c r="B298" s="9" t="s">
        <v>426</v>
      </c>
      <c r="C298" s="11">
        <v>1191.96</v>
      </c>
      <c r="D298" s="10" t="s">
        <v>290</v>
      </c>
      <c r="E298" s="17">
        <v>-3</v>
      </c>
      <c r="F298" s="17">
        <f t="shared" si="18"/>
        <v>-3575.88</v>
      </c>
      <c r="G298" s="17"/>
      <c r="H298" s="17">
        <f t="shared" si="19"/>
        <v>0</v>
      </c>
      <c r="I298" s="73"/>
      <c r="J298" s="18">
        <f t="shared" si="20"/>
        <v>0</v>
      </c>
    </row>
    <row r="299" spans="1:10" x14ac:dyDescent="0.35">
      <c r="A299" s="169">
        <f t="shared" si="17"/>
        <v>288</v>
      </c>
      <c r="B299" s="9" t="s">
        <v>444</v>
      </c>
      <c r="C299" s="11"/>
      <c r="D299" s="10"/>
      <c r="E299" s="17"/>
      <c r="F299" s="17">
        <f t="shared" si="18"/>
        <v>0</v>
      </c>
      <c r="G299" s="17"/>
      <c r="H299" s="17">
        <f t="shared" si="19"/>
        <v>0</v>
      </c>
      <c r="I299" s="73"/>
      <c r="J299" s="18">
        <f t="shared" si="20"/>
        <v>0</v>
      </c>
    </row>
    <row r="300" spans="1:10" x14ac:dyDescent="0.35">
      <c r="A300" s="169">
        <f t="shared" si="17"/>
        <v>289</v>
      </c>
      <c r="B300" s="13" t="s">
        <v>420</v>
      </c>
      <c r="C300" s="11">
        <v>11.378444999999999</v>
      </c>
      <c r="D300" s="10" t="s">
        <v>300</v>
      </c>
      <c r="E300" s="17">
        <v>-60</v>
      </c>
      <c r="F300" s="17">
        <f t="shared" si="18"/>
        <v>-682.70669999999996</v>
      </c>
      <c r="G300" s="17"/>
      <c r="H300" s="17">
        <f t="shared" si="19"/>
        <v>0</v>
      </c>
      <c r="I300" s="73"/>
      <c r="J300" s="18">
        <f t="shared" si="20"/>
        <v>0</v>
      </c>
    </row>
    <row r="301" spans="1:10" x14ac:dyDescent="0.35">
      <c r="A301" s="169">
        <f t="shared" si="17"/>
        <v>290</v>
      </c>
      <c r="B301" s="13" t="s">
        <v>421</v>
      </c>
      <c r="C301" s="11">
        <v>1.1848649999999998</v>
      </c>
      <c r="D301" s="10" t="s">
        <v>300</v>
      </c>
      <c r="E301" s="17">
        <v>-240</v>
      </c>
      <c r="F301" s="17">
        <f t="shared" si="18"/>
        <v>-284.36759999999998</v>
      </c>
      <c r="G301" s="17"/>
      <c r="H301" s="17">
        <f t="shared" si="19"/>
        <v>0</v>
      </c>
      <c r="I301" s="73"/>
      <c r="J301" s="18">
        <f t="shared" si="20"/>
        <v>0</v>
      </c>
    </row>
    <row r="302" spans="1:10" x14ac:dyDescent="0.35">
      <c r="A302" s="169">
        <f t="shared" si="17"/>
        <v>291</v>
      </c>
      <c r="B302" s="9" t="s">
        <v>445</v>
      </c>
      <c r="C302" s="11"/>
      <c r="D302" s="10"/>
      <c r="E302" s="17"/>
      <c r="F302" s="17">
        <f t="shared" si="18"/>
        <v>0</v>
      </c>
      <c r="G302" s="17"/>
      <c r="H302" s="17">
        <f t="shared" si="19"/>
        <v>0</v>
      </c>
      <c r="I302" s="73"/>
      <c r="J302" s="18">
        <f t="shared" si="20"/>
        <v>0</v>
      </c>
    </row>
    <row r="303" spans="1:10" x14ac:dyDescent="0.35">
      <c r="A303" s="169">
        <f t="shared" si="17"/>
        <v>292</v>
      </c>
      <c r="B303" s="13" t="s">
        <v>420</v>
      </c>
      <c r="C303" s="11">
        <v>11.378444999999999</v>
      </c>
      <c r="D303" s="10" t="s">
        <v>300</v>
      </c>
      <c r="E303" s="17">
        <v>-30</v>
      </c>
      <c r="F303" s="17">
        <f t="shared" si="18"/>
        <v>-341.35334999999998</v>
      </c>
      <c r="G303" s="17"/>
      <c r="H303" s="17">
        <f t="shared" si="19"/>
        <v>0</v>
      </c>
      <c r="I303" s="73"/>
      <c r="J303" s="18">
        <f t="shared" si="20"/>
        <v>0</v>
      </c>
    </row>
    <row r="304" spans="1:10" x14ac:dyDescent="0.35">
      <c r="A304" s="169">
        <f t="shared" si="17"/>
        <v>293</v>
      </c>
      <c r="B304" s="13" t="s">
        <v>421</v>
      </c>
      <c r="C304" s="11">
        <v>1.1848649999999998</v>
      </c>
      <c r="D304" s="10" t="s">
        <v>300</v>
      </c>
      <c r="E304" s="17">
        <v>-120</v>
      </c>
      <c r="F304" s="17">
        <f t="shared" si="18"/>
        <v>-142.18379999999999</v>
      </c>
      <c r="G304" s="17"/>
      <c r="H304" s="17">
        <f t="shared" si="19"/>
        <v>0</v>
      </c>
      <c r="I304" s="73"/>
      <c r="J304" s="18">
        <f t="shared" si="20"/>
        <v>0</v>
      </c>
    </row>
    <row r="305" spans="1:10" x14ac:dyDescent="0.35">
      <c r="A305" s="169">
        <f t="shared" si="17"/>
        <v>294</v>
      </c>
      <c r="B305" s="9" t="s">
        <v>428</v>
      </c>
      <c r="C305" s="11"/>
      <c r="D305" s="10"/>
      <c r="E305" s="17"/>
      <c r="F305" s="17">
        <f t="shared" si="18"/>
        <v>0</v>
      </c>
      <c r="G305" s="17"/>
      <c r="H305" s="17">
        <f t="shared" si="19"/>
        <v>0</v>
      </c>
      <c r="I305" s="73"/>
      <c r="J305" s="18">
        <f t="shared" si="20"/>
        <v>0</v>
      </c>
    </row>
    <row r="306" spans="1:10" x14ac:dyDescent="0.35">
      <c r="A306" s="169">
        <f t="shared" si="17"/>
        <v>295</v>
      </c>
      <c r="B306" s="13" t="s">
        <v>446</v>
      </c>
      <c r="C306" s="11">
        <v>3984.9249999999997</v>
      </c>
      <c r="D306" s="10" t="s">
        <v>290</v>
      </c>
      <c r="E306" s="17">
        <v>-3</v>
      </c>
      <c r="F306" s="17">
        <f t="shared" si="18"/>
        <v>-11954.775</v>
      </c>
      <c r="G306" s="17"/>
      <c r="H306" s="17">
        <f t="shared" si="19"/>
        <v>0</v>
      </c>
      <c r="I306" s="73"/>
      <c r="J306" s="18">
        <f t="shared" si="20"/>
        <v>0</v>
      </c>
    </row>
    <row r="307" spans="1:10" x14ac:dyDescent="0.35">
      <c r="A307" s="169">
        <f t="shared" si="17"/>
        <v>296</v>
      </c>
      <c r="B307" s="9" t="s">
        <v>447</v>
      </c>
      <c r="C307" s="11"/>
      <c r="D307" s="10"/>
      <c r="E307" s="17"/>
      <c r="F307" s="17">
        <f t="shared" si="18"/>
        <v>0</v>
      </c>
      <c r="G307" s="17"/>
      <c r="H307" s="17">
        <f t="shared" si="19"/>
        <v>0</v>
      </c>
      <c r="I307" s="73"/>
      <c r="J307" s="18">
        <f t="shared" si="20"/>
        <v>0</v>
      </c>
    </row>
    <row r="308" spans="1:10" x14ac:dyDescent="0.35">
      <c r="A308" s="169">
        <f t="shared" si="17"/>
        <v>297</v>
      </c>
      <c r="B308" s="13" t="s">
        <v>448</v>
      </c>
      <c r="C308" s="11">
        <v>17.906490000000002</v>
      </c>
      <c r="D308" s="10" t="s">
        <v>300</v>
      </c>
      <c r="E308" s="17">
        <v>-350</v>
      </c>
      <c r="F308" s="17">
        <f t="shared" si="18"/>
        <v>-6267.2715000000007</v>
      </c>
      <c r="G308" s="17"/>
      <c r="H308" s="17">
        <f t="shared" si="19"/>
        <v>0</v>
      </c>
      <c r="I308" s="73"/>
      <c r="J308" s="18">
        <f t="shared" si="20"/>
        <v>0</v>
      </c>
    </row>
    <row r="309" spans="1:10" x14ac:dyDescent="0.35">
      <c r="A309" s="169">
        <f t="shared" si="17"/>
        <v>298</v>
      </c>
      <c r="B309" s="13" t="s">
        <v>449</v>
      </c>
      <c r="C309" s="11">
        <v>4.5398563649999994</v>
      </c>
      <c r="D309" s="10" t="s">
        <v>300</v>
      </c>
      <c r="E309" s="17">
        <v>-1050</v>
      </c>
      <c r="F309" s="17">
        <f t="shared" si="18"/>
        <v>-4766.8491832499994</v>
      </c>
      <c r="G309" s="17"/>
      <c r="H309" s="17">
        <f t="shared" si="19"/>
        <v>0</v>
      </c>
      <c r="I309" s="73"/>
      <c r="J309" s="18">
        <f t="shared" si="20"/>
        <v>0</v>
      </c>
    </row>
    <row r="310" spans="1:10" x14ac:dyDescent="0.35">
      <c r="A310" s="169">
        <f t="shared" si="17"/>
        <v>299</v>
      </c>
      <c r="B310" s="13" t="s">
        <v>432</v>
      </c>
      <c r="C310" s="11">
        <v>2.1136005</v>
      </c>
      <c r="D310" s="10" t="s">
        <v>300</v>
      </c>
      <c r="E310" s="17">
        <v>-350</v>
      </c>
      <c r="F310" s="17">
        <f t="shared" si="18"/>
        <v>-739.760175</v>
      </c>
      <c r="G310" s="17"/>
      <c r="H310" s="17">
        <f t="shared" si="19"/>
        <v>0</v>
      </c>
      <c r="I310" s="73"/>
      <c r="J310" s="18">
        <f t="shared" si="20"/>
        <v>0</v>
      </c>
    </row>
    <row r="311" spans="1:10" x14ac:dyDescent="0.35">
      <c r="A311" s="169">
        <f t="shared" si="17"/>
        <v>300</v>
      </c>
      <c r="B311" s="13" t="s">
        <v>450</v>
      </c>
      <c r="C311" s="11">
        <v>1191.96</v>
      </c>
      <c r="D311" s="10" t="s">
        <v>290</v>
      </c>
      <c r="E311" s="17">
        <v>-6</v>
      </c>
      <c r="F311" s="17">
        <f t="shared" si="18"/>
        <v>-7151.76</v>
      </c>
      <c r="G311" s="17"/>
      <c r="H311" s="17">
        <f t="shared" si="19"/>
        <v>0</v>
      </c>
      <c r="I311" s="73"/>
      <c r="J311" s="18">
        <f t="shared" si="20"/>
        <v>0</v>
      </c>
    </row>
    <row r="312" spans="1:10" x14ac:dyDescent="0.35">
      <c r="A312" s="169">
        <f t="shared" si="17"/>
        <v>301</v>
      </c>
      <c r="B312" s="9" t="s">
        <v>451</v>
      </c>
      <c r="C312" s="11"/>
      <c r="D312" s="10"/>
      <c r="E312" s="17"/>
      <c r="F312" s="17">
        <f t="shared" si="18"/>
        <v>0</v>
      </c>
      <c r="G312" s="17"/>
      <c r="H312" s="17">
        <f t="shared" si="19"/>
        <v>0</v>
      </c>
      <c r="I312" s="73"/>
      <c r="J312" s="18">
        <f t="shared" si="20"/>
        <v>0</v>
      </c>
    </row>
    <row r="313" spans="1:10" x14ac:dyDescent="0.35">
      <c r="A313" s="169">
        <f t="shared" si="17"/>
        <v>302</v>
      </c>
      <c r="B313" s="13" t="s">
        <v>420</v>
      </c>
      <c r="C313" s="11">
        <v>11.378444999999999</v>
      </c>
      <c r="D313" s="10" t="s">
        <v>300</v>
      </c>
      <c r="E313" s="17">
        <v>-65</v>
      </c>
      <c r="F313" s="17">
        <f t="shared" si="18"/>
        <v>-739.59892500000001</v>
      </c>
      <c r="G313" s="17"/>
      <c r="H313" s="17">
        <f t="shared" si="19"/>
        <v>0</v>
      </c>
      <c r="I313" s="73"/>
      <c r="J313" s="18">
        <f t="shared" si="20"/>
        <v>0</v>
      </c>
    </row>
    <row r="314" spans="1:10" x14ac:dyDescent="0.35">
      <c r="A314" s="169">
        <f t="shared" si="17"/>
        <v>303</v>
      </c>
      <c r="B314" s="13" t="s">
        <v>421</v>
      </c>
      <c r="C314" s="11">
        <v>1.1848649999999998</v>
      </c>
      <c r="D314" s="10" t="s">
        <v>300</v>
      </c>
      <c r="E314" s="17">
        <v>-260</v>
      </c>
      <c r="F314" s="17">
        <f t="shared" si="18"/>
        <v>-308.06489999999997</v>
      </c>
      <c r="G314" s="17"/>
      <c r="H314" s="17">
        <f t="shared" si="19"/>
        <v>0</v>
      </c>
      <c r="I314" s="73"/>
      <c r="J314" s="18">
        <f t="shared" si="20"/>
        <v>0</v>
      </c>
    </row>
    <row r="315" spans="1:10" x14ac:dyDescent="0.35">
      <c r="A315" s="169">
        <f t="shared" si="17"/>
        <v>304</v>
      </c>
      <c r="B315" s="13" t="s">
        <v>452</v>
      </c>
      <c r="C315" s="11">
        <v>1489.95</v>
      </c>
      <c r="D315" s="10" t="s">
        <v>290</v>
      </c>
      <c r="E315" s="17">
        <v>-6</v>
      </c>
      <c r="F315" s="17">
        <f t="shared" si="18"/>
        <v>-8939.7000000000007</v>
      </c>
      <c r="G315" s="17"/>
      <c r="H315" s="17">
        <f t="shared" si="19"/>
        <v>0</v>
      </c>
      <c r="I315" s="73"/>
      <c r="J315" s="18">
        <f t="shared" si="20"/>
        <v>0</v>
      </c>
    </row>
    <row r="316" spans="1:10" x14ac:dyDescent="0.35">
      <c r="A316" s="169">
        <f t="shared" si="17"/>
        <v>305</v>
      </c>
      <c r="B316" s="9" t="s">
        <v>453</v>
      </c>
      <c r="C316" s="11"/>
      <c r="D316" s="10"/>
      <c r="E316" s="17"/>
      <c r="F316" s="17">
        <f t="shared" si="18"/>
        <v>0</v>
      </c>
      <c r="G316" s="17"/>
      <c r="H316" s="17">
        <f t="shared" si="19"/>
        <v>0</v>
      </c>
      <c r="I316" s="73"/>
      <c r="J316" s="18">
        <f t="shared" si="20"/>
        <v>0</v>
      </c>
    </row>
    <row r="317" spans="1:10" x14ac:dyDescent="0.35">
      <c r="A317" s="169">
        <f t="shared" si="17"/>
        <v>306</v>
      </c>
      <c r="B317" s="13" t="s">
        <v>420</v>
      </c>
      <c r="C317" s="11">
        <v>11.378444999999999</v>
      </c>
      <c r="D317" s="10" t="s">
        <v>300</v>
      </c>
      <c r="E317" s="17">
        <v>-150</v>
      </c>
      <c r="F317" s="17">
        <f t="shared" si="18"/>
        <v>-1706.7667499999998</v>
      </c>
      <c r="G317" s="17"/>
      <c r="H317" s="17">
        <f t="shared" si="19"/>
        <v>0</v>
      </c>
      <c r="I317" s="73"/>
      <c r="J317" s="18">
        <f t="shared" si="20"/>
        <v>0</v>
      </c>
    </row>
    <row r="318" spans="1:10" x14ac:dyDescent="0.35">
      <c r="A318" s="169">
        <f t="shared" si="17"/>
        <v>307</v>
      </c>
      <c r="B318" s="13" t="s">
        <v>423</v>
      </c>
      <c r="C318" s="11">
        <v>1.586055</v>
      </c>
      <c r="D318" s="10" t="s">
        <v>300</v>
      </c>
      <c r="E318" s="17">
        <v>-600</v>
      </c>
      <c r="F318" s="17">
        <f t="shared" si="18"/>
        <v>-951.63300000000004</v>
      </c>
      <c r="G318" s="17"/>
      <c r="H318" s="17">
        <f t="shared" si="19"/>
        <v>0</v>
      </c>
      <c r="I318" s="73"/>
      <c r="J318" s="18">
        <f t="shared" si="20"/>
        <v>0</v>
      </c>
    </row>
    <row r="319" spans="1:10" x14ac:dyDescent="0.35">
      <c r="A319" s="169">
        <f t="shared" si="17"/>
        <v>308</v>
      </c>
      <c r="B319" s="13" t="s">
        <v>454</v>
      </c>
      <c r="C319" s="11">
        <v>65.048249999999996</v>
      </c>
      <c r="D319" s="10" t="s">
        <v>290</v>
      </c>
      <c r="E319" s="17">
        <v>-4</v>
      </c>
      <c r="F319" s="17">
        <f t="shared" si="18"/>
        <v>-260.19299999999998</v>
      </c>
      <c r="G319" s="17"/>
      <c r="H319" s="17">
        <f t="shared" si="19"/>
        <v>0</v>
      </c>
      <c r="I319" s="73"/>
      <c r="J319" s="18">
        <f t="shared" si="20"/>
        <v>0</v>
      </c>
    </row>
    <row r="320" spans="1:10" x14ac:dyDescent="0.35">
      <c r="A320" s="169">
        <f t="shared" si="17"/>
        <v>309</v>
      </c>
      <c r="B320" s="13" t="s">
        <v>420</v>
      </c>
      <c r="C320" s="11">
        <v>11.378444999999999</v>
      </c>
      <c r="D320" s="10" t="s">
        <v>300</v>
      </c>
      <c r="E320" s="17">
        <v>-80</v>
      </c>
      <c r="F320" s="17">
        <f t="shared" si="18"/>
        <v>-910.27559999999994</v>
      </c>
      <c r="G320" s="17"/>
      <c r="H320" s="17">
        <f t="shared" si="19"/>
        <v>0</v>
      </c>
      <c r="I320" s="73"/>
      <c r="J320" s="18">
        <f t="shared" si="20"/>
        <v>0</v>
      </c>
    </row>
    <row r="321" spans="1:10" x14ac:dyDescent="0.35">
      <c r="A321" s="169">
        <f t="shared" si="17"/>
        <v>310</v>
      </c>
      <c r="B321" s="13" t="s">
        <v>421</v>
      </c>
      <c r="C321" s="11">
        <v>1.1848649999999998</v>
      </c>
      <c r="D321" s="10" t="s">
        <v>300</v>
      </c>
      <c r="E321" s="17">
        <v>-320</v>
      </c>
      <c r="F321" s="17">
        <f t="shared" si="18"/>
        <v>-379.15679999999998</v>
      </c>
      <c r="G321" s="17"/>
      <c r="H321" s="17">
        <f t="shared" si="19"/>
        <v>0</v>
      </c>
      <c r="I321" s="73"/>
      <c r="J321" s="18">
        <f t="shared" si="20"/>
        <v>0</v>
      </c>
    </row>
    <row r="322" spans="1:10" x14ac:dyDescent="0.35">
      <c r="A322" s="169">
        <f t="shared" si="17"/>
        <v>311</v>
      </c>
      <c r="B322" s="9"/>
      <c r="C322" s="11"/>
      <c r="D322" s="10"/>
      <c r="E322" s="17"/>
      <c r="F322" s="17"/>
      <c r="G322" s="17"/>
      <c r="H322" s="17">
        <f t="shared" si="19"/>
        <v>0</v>
      </c>
      <c r="I322" s="73"/>
      <c r="J322" s="18">
        <f t="shared" si="20"/>
        <v>0</v>
      </c>
    </row>
    <row r="323" spans="1:10" x14ac:dyDescent="0.35">
      <c r="A323" s="169">
        <f t="shared" si="17"/>
        <v>312</v>
      </c>
      <c r="B323" s="9" t="s">
        <v>463</v>
      </c>
      <c r="C323" s="11"/>
      <c r="D323" s="10"/>
      <c r="E323" s="17"/>
      <c r="F323" s="17"/>
      <c r="G323" s="17"/>
      <c r="H323" s="17">
        <f t="shared" si="19"/>
        <v>0</v>
      </c>
      <c r="I323" s="73"/>
      <c r="J323" s="18">
        <f t="shared" si="20"/>
        <v>0</v>
      </c>
    </row>
    <row r="324" spans="1:10" x14ac:dyDescent="0.35">
      <c r="A324" s="169">
        <f t="shared" si="17"/>
        <v>313</v>
      </c>
      <c r="B324" s="9" t="s">
        <v>464</v>
      </c>
      <c r="C324" s="11"/>
      <c r="D324" s="10"/>
      <c r="E324" s="17"/>
      <c r="F324" s="17"/>
      <c r="G324" s="17"/>
      <c r="H324" s="17">
        <f t="shared" si="19"/>
        <v>0</v>
      </c>
      <c r="I324" s="73"/>
      <c r="J324" s="18">
        <f t="shared" si="20"/>
        <v>0</v>
      </c>
    </row>
    <row r="325" spans="1:10" x14ac:dyDescent="0.35">
      <c r="A325" s="169">
        <f t="shared" ref="A325:A388" si="21">ROW()-11</f>
        <v>314</v>
      </c>
      <c r="B325" s="13" t="s">
        <v>878</v>
      </c>
      <c r="C325" s="11">
        <v>2500</v>
      </c>
      <c r="D325" s="10" t="s">
        <v>290</v>
      </c>
      <c r="E325" s="17"/>
      <c r="F325" s="17"/>
      <c r="G325" s="17">
        <v>1</v>
      </c>
      <c r="H325" s="17">
        <f t="shared" si="19"/>
        <v>2500</v>
      </c>
      <c r="I325" s="73"/>
      <c r="J325" s="18">
        <f t="shared" si="20"/>
        <v>0</v>
      </c>
    </row>
    <row r="326" spans="1:10" x14ac:dyDescent="0.35">
      <c r="A326" s="169">
        <f t="shared" si="21"/>
        <v>315</v>
      </c>
      <c r="B326" s="9" t="s">
        <v>875</v>
      </c>
      <c r="C326" s="11"/>
      <c r="D326" s="10"/>
      <c r="E326" s="17"/>
      <c r="F326" s="17"/>
      <c r="G326" s="17"/>
      <c r="H326" s="17">
        <f t="shared" si="19"/>
        <v>0</v>
      </c>
      <c r="I326" s="73"/>
      <c r="J326" s="18">
        <f t="shared" si="20"/>
        <v>0</v>
      </c>
    </row>
    <row r="327" spans="1:10" x14ac:dyDescent="0.35">
      <c r="A327" s="169">
        <f t="shared" si="21"/>
        <v>316</v>
      </c>
      <c r="B327" s="292" t="s">
        <v>876</v>
      </c>
      <c r="C327" s="11">
        <v>27.93</v>
      </c>
      <c r="D327" s="10" t="s">
        <v>300</v>
      </c>
      <c r="E327" s="17"/>
      <c r="F327" s="17"/>
      <c r="G327" s="17">
        <v>120</v>
      </c>
      <c r="H327" s="17">
        <f t="shared" ref="H327:H358" si="22">G327*$C327</f>
        <v>3351.6</v>
      </c>
      <c r="I327" s="73"/>
      <c r="J327" s="18">
        <f t="shared" ref="J327:J358" si="23">I327*$C327</f>
        <v>0</v>
      </c>
    </row>
    <row r="328" spans="1:10" x14ac:dyDescent="0.35">
      <c r="A328" s="169">
        <f t="shared" si="21"/>
        <v>317</v>
      </c>
      <c r="B328" s="292" t="s">
        <v>681</v>
      </c>
      <c r="C328" s="11">
        <v>15.5</v>
      </c>
      <c r="D328" s="10" t="s">
        <v>300</v>
      </c>
      <c r="E328" s="17"/>
      <c r="F328" s="17"/>
      <c r="G328" s="17">
        <v>360</v>
      </c>
      <c r="H328" s="17">
        <f t="shared" si="22"/>
        <v>5580</v>
      </c>
      <c r="I328" s="73"/>
      <c r="J328" s="18">
        <f t="shared" si="23"/>
        <v>0</v>
      </c>
    </row>
    <row r="329" spans="1:10" x14ac:dyDescent="0.35">
      <c r="A329" s="169">
        <f t="shared" si="21"/>
        <v>318</v>
      </c>
      <c r="B329" s="292" t="s">
        <v>877</v>
      </c>
      <c r="C329" s="11">
        <v>3.95</v>
      </c>
      <c r="D329" s="10" t="s">
        <v>300</v>
      </c>
      <c r="E329" s="17"/>
      <c r="F329" s="17"/>
      <c r="G329" s="17">
        <v>120</v>
      </c>
      <c r="H329" s="17">
        <f t="shared" si="22"/>
        <v>474</v>
      </c>
      <c r="I329" s="73"/>
      <c r="J329" s="18">
        <f t="shared" si="23"/>
        <v>0</v>
      </c>
    </row>
    <row r="330" spans="1:10" x14ac:dyDescent="0.35">
      <c r="A330" s="169">
        <f t="shared" si="21"/>
        <v>319</v>
      </c>
      <c r="B330" s="9" t="s">
        <v>425</v>
      </c>
      <c r="C330" s="11"/>
      <c r="D330" s="10"/>
      <c r="E330" s="17"/>
      <c r="F330" s="17"/>
      <c r="G330" s="17"/>
      <c r="H330" s="17">
        <f t="shared" si="22"/>
        <v>0</v>
      </c>
      <c r="I330" s="73"/>
      <c r="J330" s="18">
        <f t="shared" si="23"/>
        <v>0</v>
      </c>
    </row>
    <row r="331" spans="1:10" x14ac:dyDescent="0.35">
      <c r="A331" s="169">
        <f t="shared" si="21"/>
        <v>320</v>
      </c>
      <c r="B331" s="13" t="s">
        <v>426</v>
      </c>
      <c r="C331" s="11">
        <v>1191.96</v>
      </c>
      <c r="D331" s="10" t="s">
        <v>290</v>
      </c>
      <c r="E331" s="17"/>
      <c r="F331" s="17"/>
      <c r="G331" s="17">
        <v>2</v>
      </c>
      <c r="H331" s="17">
        <f t="shared" si="22"/>
        <v>2383.92</v>
      </c>
      <c r="I331" s="73"/>
      <c r="J331" s="18">
        <f t="shared" si="23"/>
        <v>0</v>
      </c>
    </row>
    <row r="332" spans="1:10" x14ac:dyDescent="0.35">
      <c r="A332" s="169">
        <f t="shared" si="21"/>
        <v>321</v>
      </c>
      <c r="B332" s="9" t="s">
        <v>427</v>
      </c>
      <c r="C332" s="11"/>
      <c r="D332" s="10"/>
      <c r="E332" s="17"/>
      <c r="F332" s="17"/>
      <c r="G332" s="17"/>
      <c r="H332" s="17">
        <f t="shared" si="22"/>
        <v>0</v>
      </c>
      <c r="I332" s="73"/>
      <c r="J332" s="18">
        <f t="shared" si="23"/>
        <v>0</v>
      </c>
    </row>
    <row r="333" spans="1:10" x14ac:dyDescent="0.35">
      <c r="A333" s="169">
        <f t="shared" si="21"/>
        <v>322</v>
      </c>
      <c r="B333" s="13" t="s">
        <v>420</v>
      </c>
      <c r="C333" s="11">
        <v>11.378444999999999</v>
      </c>
      <c r="D333" s="10" t="s">
        <v>300</v>
      </c>
      <c r="E333" s="17"/>
      <c r="F333" s="17"/>
      <c r="G333" s="17">
        <v>373</v>
      </c>
      <c r="H333" s="17">
        <f t="shared" si="22"/>
        <v>4244.1599849999993</v>
      </c>
      <c r="I333" s="73"/>
      <c r="J333" s="18">
        <f t="shared" si="23"/>
        <v>0</v>
      </c>
    </row>
    <row r="334" spans="1:10" x14ac:dyDescent="0.35">
      <c r="A334" s="169">
        <f t="shared" si="21"/>
        <v>323</v>
      </c>
      <c r="B334" s="13" t="s">
        <v>421</v>
      </c>
      <c r="C334" s="11">
        <v>1.1848649999999998</v>
      </c>
      <c r="D334" s="10" t="s">
        <v>300</v>
      </c>
      <c r="E334" s="17"/>
      <c r="F334" s="17"/>
      <c r="G334" s="17">
        <v>1492</v>
      </c>
      <c r="H334" s="17">
        <f t="shared" si="22"/>
        <v>1767.8185799999997</v>
      </c>
      <c r="I334" s="73"/>
      <c r="J334" s="18">
        <f t="shared" si="23"/>
        <v>0</v>
      </c>
    </row>
    <row r="335" spans="1:10" x14ac:dyDescent="0.35">
      <c r="A335" s="169">
        <f t="shared" si="21"/>
        <v>324</v>
      </c>
      <c r="B335" s="9" t="s">
        <v>428</v>
      </c>
      <c r="C335" s="11"/>
      <c r="D335" s="10"/>
      <c r="E335" s="17"/>
      <c r="F335" s="17"/>
      <c r="G335" s="17"/>
      <c r="H335" s="17">
        <f t="shared" si="22"/>
        <v>0</v>
      </c>
      <c r="I335" s="73"/>
      <c r="J335" s="18">
        <f t="shared" si="23"/>
        <v>0</v>
      </c>
    </row>
    <row r="336" spans="1:10" x14ac:dyDescent="0.35">
      <c r="A336" s="169">
        <f t="shared" si="21"/>
        <v>325</v>
      </c>
      <c r="B336" s="13" t="s">
        <v>429</v>
      </c>
      <c r="C336" s="11">
        <v>3000</v>
      </c>
      <c r="D336" s="10" t="s">
        <v>290</v>
      </c>
      <c r="E336" s="17"/>
      <c r="F336" s="17"/>
      <c r="G336" s="17">
        <v>3</v>
      </c>
      <c r="H336" s="17">
        <f t="shared" si="22"/>
        <v>9000</v>
      </c>
      <c r="I336" s="73"/>
      <c r="J336" s="18">
        <f t="shared" si="23"/>
        <v>0</v>
      </c>
    </row>
    <row r="337" spans="1:10" x14ac:dyDescent="0.35">
      <c r="A337" s="169">
        <f t="shared" si="21"/>
        <v>326</v>
      </c>
      <c r="B337" s="9" t="s">
        <v>430</v>
      </c>
      <c r="C337" s="11"/>
      <c r="D337" s="10"/>
      <c r="E337" s="17"/>
      <c r="F337" s="17"/>
      <c r="G337" s="17"/>
      <c r="H337" s="17">
        <f t="shared" si="22"/>
        <v>0</v>
      </c>
      <c r="I337" s="73"/>
      <c r="J337" s="18">
        <f t="shared" si="23"/>
        <v>0</v>
      </c>
    </row>
    <row r="338" spans="1:10" x14ac:dyDescent="0.35">
      <c r="A338" s="169">
        <f t="shared" si="21"/>
        <v>327</v>
      </c>
      <c r="B338" s="13" t="s">
        <v>422</v>
      </c>
      <c r="C338" s="11">
        <v>13.3563375</v>
      </c>
      <c r="D338" s="10" t="s">
        <v>300</v>
      </c>
      <c r="E338" s="17"/>
      <c r="F338" s="17"/>
      <c r="G338" s="17">
        <v>350</v>
      </c>
      <c r="H338" s="17">
        <f t="shared" si="22"/>
        <v>4674.7181250000003</v>
      </c>
      <c r="I338" s="73"/>
      <c r="J338" s="18">
        <f t="shared" si="23"/>
        <v>0</v>
      </c>
    </row>
    <row r="339" spans="1:10" x14ac:dyDescent="0.35">
      <c r="A339" s="169">
        <f t="shared" si="21"/>
        <v>328</v>
      </c>
      <c r="B339" s="13" t="s">
        <v>431</v>
      </c>
      <c r="C339" s="11">
        <v>3.5374499324999991</v>
      </c>
      <c r="D339" s="10" t="s">
        <v>300</v>
      </c>
      <c r="E339" s="17"/>
      <c r="F339" s="17"/>
      <c r="G339" s="17">
        <v>1050</v>
      </c>
      <c r="H339" s="17">
        <f t="shared" si="22"/>
        <v>3714.322429124999</v>
      </c>
      <c r="I339" s="73"/>
      <c r="J339" s="18">
        <f t="shared" si="23"/>
        <v>0</v>
      </c>
    </row>
    <row r="340" spans="1:10" x14ac:dyDescent="0.35">
      <c r="A340" s="169">
        <f t="shared" si="21"/>
        <v>329</v>
      </c>
      <c r="B340" s="13" t="s">
        <v>432</v>
      </c>
      <c r="C340" s="11">
        <v>2.1136005</v>
      </c>
      <c r="D340" s="10" t="s">
        <v>300</v>
      </c>
      <c r="E340" s="17"/>
      <c r="F340" s="17"/>
      <c r="G340" s="17">
        <v>350</v>
      </c>
      <c r="H340" s="17">
        <f t="shared" si="22"/>
        <v>739.760175</v>
      </c>
      <c r="I340" s="73"/>
      <c r="J340" s="18">
        <f t="shared" si="23"/>
        <v>0</v>
      </c>
    </row>
    <row r="341" spans="1:10" x14ac:dyDescent="0.35">
      <c r="A341" s="169">
        <f t="shared" si="21"/>
        <v>330</v>
      </c>
      <c r="B341" s="13" t="s">
        <v>433</v>
      </c>
      <c r="C341" s="11">
        <v>1100</v>
      </c>
      <c r="D341" s="10" t="s">
        <v>290</v>
      </c>
      <c r="E341" s="17"/>
      <c r="F341" s="17"/>
      <c r="G341" s="17">
        <v>6</v>
      </c>
      <c r="H341" s="17">
        <f t="shared" si="22"/>
        <v>6600</v>
      </c>
      <c r="I341" s="73"/>
      <c r="J341" s="18">
        <f t="shared" si="23"/>
        <v>0</v>
      </c>
    </row>
    <row r="342" spans="1:10" x14ac:dyDescent="0.35">
      <c r="A342" s="169">
        <f t="shared" si="21"/>
        <v>331</v>
      </c>
      <c r="B342" s="9" t="s">
        <v>434</v>
      </c>
      <c r="C342" s="11"/>
      <c r="D342" s="10"/>
      <c r="E342" s="17"/>
      <c r="F342" s="17"/>
      <c r="G342" s="17"/>
      <c r="H342" s="17">
        <f t="shared" si="22"/>
        <v>0</v>
      </c>
      <c r="I342" s="73"/>
      <c r="J342" s="18">
        <f t="shared" si="23"/>
        <v>0</v>
      </c>
    </row>
    <row r="343" spans="1:10" x14ac:dyDescent="0.35">
      <c r="A343" s="169">
        <f t="shared" si="21"/>
        <v>332</v>
      </c>
      <c r="B343" s="13" t="s">
        <v>420</v>
      </c>
      <c r="C343" s="11">
        <v>11.378444999999999</v>
      </c>
      <c r="D343" s="10" t="s">
        <v>300</v>
      </c>
      <c r="E343" s="17"/>
      <c r="F343" s="17"/>
      <c r="G343" s="17">
        <v>65</v>
      </c>
      <c r="H343" s="17">
        <f t="shared" si="22"/>
        <v>739.59892500000001</v>
      </c>
      <c r="I343" s="73"/>
      <c r="J343" s="18">
        <f t="shared" si="23"/>
        <v>0</v>
      </c>
    </row>
    <row r="344" spans="1:10" x14ac:dyDescent="0.35">
      <c r="A344" s="169">
        <f t="shared" si="21"/>
        <v>333</v>
      </c>
      <c r="B344" s="13" t="s">
        <v>421</v>
      </c>
      <c r="C344" s="11">
        <v>1.1848649999999998</v>
      </c>
      <c r="D344" s="10" t="s">
        <v>300</v>
      </c>
      <c r="E344" s="17"/>
      <c r="F344" s="17"/>
      <c r="G344" s="17">
        <v>260</v>
      </c>
      <c r="H344" s="17">
        <f t="shared" si="22"/>
        <v>308.06489999999997</v>
      </c>
      <c r="I344" s="73"/>
      <c r="J344" s="18">
        <f t="shared" si="23"/>
        <v>0</v>
      </c>
    </row>
    <row r="345" spans="1:10" x14ac:dyDescent="0.35">
      <c r="A345" s="169">
        <f t="shared" si="21"/>
        <v>334</v>
      </c>
      <c r="B345" s="13" t="s">
        <v>435</v>
      </c>
      <c r="C345" s="11">
        <v>1191.96</v>
      </c>
      <c r="D345" s="10" t="s">
        <v>290</v>
      </c>
      <c r="E345" s="17"/>
      <c r="F345" s="17"/>
      <c r="G345" s="17">
        <v>6</v>
      </c>
      <c r="H345" s="17">
        <f t="shared" si="22"/>
        <v>7151.76</v>
      </c>
      <c r="I345" s="73"/>
      <c r="J345" s="18">
        <f t="shared" si="23"/>
        <v>0</v>
      </c>
    </row>
    <row r="346" spans="1:10" x14ac:dyDescent="0.35">
      <c r="A346" s="169">
        <f t="shared" si="21"/>
        <v>335</v>
      </c>
      <c r="B346" s="9" t="s">
        <v>436</v>
      </c>
      <c r="C346" s="11"/>
      <c r="D346" s="10"/>
      <c r="E346" s="17"/>
      <c r="F346" s="17"/>
      <c r="G346" s="17"/>
      <c r="H346" s="17">
        <f t="shared" si="22"/>
        <v>0</v>
      </c>
      <c r="I346" s="73"/>
      <c r="J346" s="18">
        <f t="shared" si="23"/>
        <v>0</v>
      </c>
    </row>
    <row r="347" spans="1:10" x14ac:dyDescent="0.35">
      <c r="A347" s="169">
        <f t="shared" si="21"/>
        <v>336</v>
      </c>
      <c r="B347" s="13" t="s">
        <v>420</v>
      </c>
      <c r="C347" s="11">
        <v>11.378444999999999</v>
      </c>
      <c r="D347" s="10" t="s">
        <v>300</v>
      </c>
      <c r="E347" s="17"/>
      <c r="F347" s="17"/>
      <c r="G347" s="17">
        <v>150</v>
      </c>
      <c r="H347" s="17">
        <f t="shared" si="22"/>
        <v>1706.7667499999998</v>
      </c>
      <c r="I347" s="73"/>
      <c r="J347" s="18">
        <f t="shared" si="23"/>
        <v>0</v>
      </c>
    </row>
    <row r="348" spans="1:10" x14ac:dyDescent="0.35">
      <c r="A348" s="169">
        <f t="shared" si="21"/>
        <v>337</v>
      </c>
      <c r="B348" s="13" t="s">
        <v>421</v>
      </c>
      <c r="C348" s="11">
        <v>1.1848649999999998</v>
      </c>
      <c r="D348" s="10" t="s">
        <v>300</v>
      </c>
      <c r="E348" s="17"/>
      <c r="F348" s="17"/>
      <c r="G348" s="17">
        <v>600</v>
      </c>
      <c r="H348" s="17">
        <f t="shared" si="22"/>
        <v>710.91899999999987</v>
      </c>
      <c r="I348" s="73"/>
      <c r="J348" s="18">
        <f t="shared" si="23"/>
        <v>0</v>
      </c>
    </row>
    <row r="349" spans="1:10" x14ac:dyDescent="0.35">
      <c r="A349" s="169">
        <f t="shared" si="21"/>
        <v>338</v>
      </c>
      <c r="B349" s="9"/>
      <c r="C349" s="11"/>
      <c r="D349" s="10"/>
      <c r="E349" s="17"/>
      <c r="F349" s="17"/>
      <c r="G349" s="17"/>
      <c r="H349" s="17">
        <f t="shared" si="22"/>
        <v>0</v>
      </c>
      <c r="I349" s="73"/>
      <c r="J349" s="18">
        <f t="shared" si="23"/>
        <v>0</v>
      </c>
    </row>
    <row r="350" spans="1:10" x14ac:dyDescent="0.35">
      <c r="A350" s="169">
        <f t="shared" si="21"/>
        <v>339</v>
      </c>
      <c r="B350" s="9" t="s">
        <v>437</v>
      </c>
      <c r="C350" s="11"/>
      <c r="D350" s="10"/>
      <c r="E350" s="17"/>
      <c r="F350" s="17"/>
      <c r="G350" s="17"/>
      <c r="H350" s="17">
        <f t="shared" si="22"/>
        <v>0</v>
      </c>
      <c r="I350" s="73"/>
      <c r="J350" s="18">
        <f t="shared" si="23"/>
        <v>0</v>
      </c>
    </row>
    <row r="351" spans="1:10" x14ac:dyDescent="0.35">
      <c r="A351" s="169">
        <f t="shared" si="21"/>
        <v>340</v>
      </c>
      <c r="B351" s="9" t="s">
        <v>438</v>
      </c>
      <c r="C351" s="11"/>
      <c r="D351" s="10"/>
      <c r="E351" s="17"/>
      <c r="F351" s="17"/>
      <c r="G351" s="17"/>
      <c r="H351" s="17">
        <f t="shared" si="22"/>
        <v>0</v>
      </c>
      <c r="I351" s="73"/>
      <c r="J351" s="18">
        <f t="shared" si="23"/>
        <v>0</v>
      </c>
    </row>
    <row r="352" spans="1:10" x14ac:dyDescent="0.35">
      <c r="A352" s="169">
        <f t="shared" si="21"/>
        <v>341</v>
      </c>
      <c r="B352" s="13" t="s">
        <v>439</v>
      </c>
      <c r="C352" s="11">
        <v>1364.6742300000001</v>
      </c>
      <c r="D352" s="10" t="s">
        <v>290</v>
      </c>
      <c r="E352" s="17"/>
      <c r="F352" s="17"/>
      <c r="G352" s="17">
        <v>-2</v>
      </c>
      <c r="H352" s="17">
        <f t="shared" si="22"/>
        <v>-2729.3484600000002</v>
      </c>
      <c r="I352" s="73"/>
      <c r="J352" s="18">
        <f t="shared" si="23"/>
        <v>0</v>
      </c>
    </row>
    <row r="353" spans="1:10" x14ac:dyDescent="0.35">
      <c r="A353" s="169">
        <f t="shared" si="21"/>
        <v>342</v>
      </c>
      <c r="B353" s="9" t="s">
        <v>440</v>
      </c>
      <c r="C353" s="11"/>
      <c r="D353" s="10"/>
      <c r="E353" s="17"/>
      <c r="F353" s="17"/>
      <c r="G353" s="17"/>
      <c r="H353" s="17">
        <f t="shared" si="22"/>
        <v>0</v>
      </c>
      <c r="I353" s="73"/>
      <c r="J353" s="18">
        <f t="shared" si="23"/>
        <v>0</v>
      </c>
    </row>
    <row r="354" spans="1:10" x14ac:dyDescent="0.35">
      <c r="A354" s="169">
        <f t="shared" si="21"/>
        <v>343</v>
      </c>
      <c r="B354" s="13" t="s">
        <v>441</v>
      </c>
      <c r="C354" s="11">
        <v>20.362198499999998</v>
      </c>
      <c r="D354" s="10" t="s">
        <v>300</v>
      </c>
      <c r="E354" s="17"/>
      <c r="F354" s="17"/>
      <c r="G354" s="17">
        <v>-300</v>
      </c>
      <c r="H354" s="17">
        <f t="shared" si="22"/>
        <v>-6108.6595499999994</v>
      </c>
      <c r="I354" s="73"/>
      <c r="J354" s="18">
        <f t="shared" si="23"/>
        <v>0</v>
      </c>
    </row>
    <row r="355" spans="1:10" x14ac:dyDescent="0.35">
      <c r="A355" s="169">
        <f t="shared" si="21"/>
        <v>344</v>
      </c>
      <c r="B355" s="13" t="s">
        <v>442</v>
      </c>
      <c r="C355" s="11">
        <v>9.0912492</v>
      </c>
      <c r="D355" s="10" t="s">
        <v>300</v>
      </c>
      <c r="E355" s="17"/>
      <c r="F355" s="17"/>
      <c r="G355" s="17">
        <v>-900</v>
      </c>
      <c r="H355" s="17">
        <f t="shared" si="22"/>
        <v>-8182.12428</v>
      </c>
      <c r="I355" s="73"/>
      <c r="J355" s="18">
        <f t="shared" si="23"/>
        <v>0</v>
      </c>
    </row>
    <row r="356" spans="1:10" x14ac:dyDescent="0.35">
      <c r="A356" s="169">
        <f t="shared" si="21"/>
        <v>345</v>
      </c>
      <c r="B356" s="13" t="s">
        <v>431</v>
      </c>
      <c r="C356" s="11">
        <v>3.5374499324999991</v>
      </c>
      <c r="D356" s="10" t="s">
        <v>300</v>
      </c>
      <c r="E356" s="17"/>
      <c r="F356" s="17"/>
      <c r="G356" s="17">
        <v>-300</v>
      </c>
      <c r="H356" s="17">
        <f t="shared" si="22"/>
        <v>-1061.2349797499996</v>
      </c>
      <c r="I356" s="73"/>
      <c r="J356" s="18">
        <f t="shared" si="23"/>
        <v>0</v>
      </c>
    </row>
    <row r="357" spans="1:10" x14ac:dyDescent="0.35">
      <c r="A357" s="169">
        <f t="shared" si="21"/>
        <v>346</v>
      </c>
      <c r="B357" s="9" t="s">
        <v>443</v>
      </c>
      <c r="C357" s="11"/>
      <c r="D357" s="10"/>
      <c r="E357" s="17"/>
      <c r="F357" s="17"/>
      <c r="G357" s="17"/>
      <c r="H357" s="17">
        <f t="shared" si="22"/>
        <v>0</v>
      </c>
      <c r="I357" s="73"/>
      <c r="J357" s="18">
        <f t="shared" si="23"/>
        <v>0</v>
      </c>
    </row>
    <row r="358" spans="1:10" x14ac:dyDescent="0.35">
      <c r="A358" s="169">
        <f t="shared" si="21"/>
        <v>347</v>
      </c>
      <c r="B358" s="13" t="s">
        <v>426</v>
      </c>
      <c r="C358" s="11">
        <v>1191.96</v>
      </c>
      <c r="D358" s="10" t="s">
        <v>290</v>
      </c>
      <c r="E358" s="17"/>
      <c r="F358" s="17"/>
      <c r="G358" s="17">
        <v>-3</v>
      </c>
      <c r="H358" s="17">
        <f t="shared" si="22"/>
        <v>-3575.88</v>
      </c>
      <c r="I358" s="73"/>
      <c r="J358" s="18">
        <f t="shared" si="23"/>
        <v>0</v>
      </c>
    </row>
    <row r="359" spans="1:10" x14ac:dyDescent="0.35">
      <c r="A359" s="169">
        <f t="shared" si="21"/>
        <v>348</v>
      </c>
      <c r="B359" s="9" t="s">
        <v>444</v>
      </c>
      <c r="C359" s="11"/>
      <c r="D359" s="10"/>
      <c r="E359" s="17"/>
      <c r="F359" s="17"/>
      <c r="G359" s="17"/>
      <c r="H359" s="17">
        <f t="shared" ref="H359:H382" si="24">G359*$C359</f>
        <v>0</v>
      </c>
      <c r="I359" s="73"/>
      <c r="J359" s="18">
        <f t="shared" ref="J359:J390" si="25">I359*$C359</f>
        <v>0</v>
      </c>
    </row>
    <row r="360" spans="1:10" x14ac:dyDescent="0.35">
      <c r="A360" s="169">
        <f t="shared" si="21"/>
        <v>349</v>
      </c>
      <c r="B360" s="13" t="s">
        <v>420</v>
      </c>
      <c r="C360" s="11">
        <v>11.378444999999999</v>
      </c>
      <c r="D360" s="10" t="s">
        <v>300</v>
      </c>
      <c r="E360" s="17"/>
      <c r="F360" s="17"/>
      <c r="G360" s="17">
        <v>-60</v>
      </c>
      <c r="H360" s="17">
        <f t="shared" si="24"/>
        <v>-682.70669999999996</v>
      </c>
      <c r="I360" s="73"/>
      <c r="J360" s="18">
        <f t="shared" si="25"/>
        <v>0</v>
      </c>
    </row>
    <row r="361" spans="1:10" x14ac:dyDescent="0.35">
      <c r="A361" s="169">
        <f t="shared" si="21"/>
        <v>350</v>
      </c>
      <c r="B361" s="13" t="s">
        <v>421</v>
      </c>
      <c r="C361" s="11">
        <v>1.1848649999999998</v>
      </c>
      <c r="D361" s="10" t="s">
        <v>300</v>
      </c>
      <c r="E361" s="17"/>
      <c r="F361" s="17"/>
      <c r="G361" s="17">
        <v>-240</v>
      </c>
      <c r="H361" s="17">
        <f t="shared" si="24"/>
        <v>-284.36759999999998</v>
      </c>
      <c r="I361" s="73"/>
      <c r="J361" s="18">
        <f t="shared" si="25"/>
        <v>0</v>
      </c>
    </row>
    <row r="362" spans="1:10" x14ac:dyDescent="0.35">
      <c r="A362" s="169">
        <f t="shared" si="21"/>
        <v>351</v>
      </c>
      <c r="B362" s="9" t="s">
        <v>445</v>
      </c>
      <c r="C362" s="11"/>
      <c r="D362" s="10"/>
      <c r="E362" s="17"/>
      <c r="F362" s="17"/>
      <c r="G362" s="17"/>
      <c r="H362" s="17">
        <f t="shared" si="24"/>
        <v>0</v>
      </c>
      <c r="I362" s="73"/>
      <c r="J362" s="18">
        <f t="shared" si="25"/>
        <v>0</v>
      </c>
    </row>
    <row r="363" spans="1:10" x14ac:dyDescent="0.35">
      <c r="A363" s="169">
        <f t="shared" si="21"/>
        <v>352</v>
      </c>
      <c r="B363" s="13" t="s">
        <v>420</v>
      </c>
      <c r="C363" s="11">
        <v>11.378444999999999</v>
      </c>
      <c r="D363" s="10" t="s">
        <v>300</v>
      </c>
      <c r="E363" s="17"/>
      <c r="F363" s="17"/>
      <c r="G363" s="17">
        <v>-30</v>
      </c>
      <c r="H363" s="17">
        <f t="shared" si="24"/>
        <v>-341.35334999999998</v>
      </c>
      <c r="I363" s="73"/>
      <c r="J363" s="18">
        <f t="shared" si="25"/>
        <v>0</v>
      </c>
    </row>
    <row r="364" spans="1:10" x14ac:dyDescent="0.35">
      <c r="A364" s="169">
        <f t="shared" si="21"/>
        <v>353</v>
      </c>
      <c r="B364" s="13" t="s">
        <v>421</v>
      </c>
      <c r="C364" s="11">
        <v>1.1848649999999998</v>
      </c>
      <c r="D364" s="10" t="s">
        <v>300</v>
      </c>
      <c r="E364" s="17"/>
      <c r="F364" s="17"/>
      <c r="G364" s="17">
        <v>-120</v>
      </c>
      <c r="H364" s="17">
        <f t="shared" si="24"/>
        <v>-142.18379999999999</v>
      </c>
      <c r="I364" s="73"/>
      <c r="J364" s="18">
        <f t="shared" si="25"/>
        <v>0</v>
      </c>
    </row>
    <row r="365" spans="1:10" x14ac:dyDescent="0.35">
      <c r="A365" s="169">
        <f t="shared" si="21"/>
        <v>354</v>
      </c>
      <c r="B365" s="9" t="s">
        <v>428</v>
      </c>
      <c r="C365" s="11"/>
      <c r="D365" s="10"/>
      <c r="E365" s="17"/>
      <c r="F365" s="17"/>
      <c r="G365" s="17"/>
      <c r="H365" s="17">
        <f t="shared" si="24"/>
        <v>0</v>
      </c>
      <c r="I365" s="73"/>
      <c r="J365" s="18">
        <f t="shared" si="25"/>
        <v>0</v>
      </c>
    </row>
    <row r="366" spans="1:10" x14ac:dyDescent="0.35">
      <c r="A366" s="169">
        <f t="shared" si="21"/>
        <v>355</v>
      </c>
      <c r="B366" s="13" t="s">
        <v>446</v>
      </c>
      <c r="C366" s="11">
        <v>3984.9249999999997</v>
      </c>
      <c r="D366" s="10" t="s">
        <v>290</v>
      </c>
      <c r="E366" s="17"/>
      <c r="F366" s="17"/>
      <c r="G366" s="17">
        <v>-3</v>
      </c>
      <c r="H366" s="17">
        <f t="shared" si="24"/>
        <v>-11954.775</v>
      </c>
      <c r="I366" s="73"/>
      <c r="J366" s="18">
        <f t="shared" si="25"/>
        <v>0</v>
      </c>
    </row>
    <row r="367" spans="1:10" x14ac:dyDescent="0.35">
      <c r="A367" s="169">
        <f t="shared" si="21"/>
        <v>356</v>
      </c>
      <c r="B367" s="9" t="s">
        <v>447</v>
      </c>
      <c r="C367" s="11"/>
      <c r="D367" s="10"/>
      <c r="E367" s="17"/>
      <c r="F367" s="17"/>
      <c r="G367" s="17"/>
      <c r="H367" s="17">
        <f t="shared" si="24"/>
        <v>0</v>
      </c>
      <c r="I367" s="73"/>
      <c r="J367" s="18">
        <f t="shared" si="25"/>
        <v>0</v>
      </c>
    </row>
    <row r="368" spans="1:10" x14ac:dyDescent="0.35">
      <c r="A368" s="169">
        <f t="shared" si="21"/>
        <v>357</v>
      </c>
      <c r="B368" s="13" t="s">
        <v>448</v>
      </c>
      <c r="C368" s="11">
        <v>17.906490000000002</v>
      </c>
      <c r="D368" s="10" t="s">
        <v>300</v>
      </c>
      <c r="E368" s="17"/>
      <c r="F368" s="17"/>
      <c r="G368" s="17">
        <v>-350</v>
      </c>
      <c r="H368" s="17">
        <f t="shared" si="24"/>
        <v>-6267.2715000000007</v>
      </c>
      <c r="I368" s="73"/>
      <c r="J368" s="18">
        <f t="shared" si="25"/>
        <v>0</v>
      </c>
    </row>
    <row r="369" spans="1:10" x14ac:dyDescent="0.35">
      <c r="A369" s="169">
        <f t="shared" si="21"/>
        <v>358</v>
      </c>
      <c r="B369" s="13" t="s">
        <v>449</v>
      </c>
      <c r="C369" s="11">
        <v>4.5398563649999994</v>
      </c>
      <c r="D369" s="10" t="s">
        <v>300</v>
      </c>
      <c r="E369" s="17"/>
      <c r="F369" s="17"/>
      <c r="G369" s="17">
        <v>-1050</v>
      </c>
      <c r="H369" s="17">
        <f t="shared" si="24"/>
        <v>-4766.8491832499994</v>
      </c>
      <c r="I369" s="73"/>
      <c r="J369" s="18">
        <f t="shared" si="25"/>
        <v>0</v>
      </c>
    </row>
    <row r="370" spans="1:10" x14ac:dyDescent="0.35">
      <c r="A370" s="169">
        <f t="shared" si="21"/>
        <v>359</v>
      </c>
      <c r="B370" s="13" t="s">
        <v>432</v>
      </c>
      <c r="C370" s="11">
        <v>2.1136005</v>
      </c>
      <c r="D370" s="10" t="s">
        <v>300</v>
      </c>
      <c r="E370" s="17"/>
      <c r="F370" s="17"/>
      <c r="G370" s="17">
        <v>-350</v>
      </c>
      <c r="H370" s="17">
        <f t="shared" si="24"/>
        <v>-739.760175</v>
      </c>
      <c r="I370" s="73"/>
      <c r="J370" s="18">
        <f t="shared" si="25"/>
        <v>0</v>
      </c>
    </row>
    <row r="371" spans="1:10" x14ac:dyDescent="0.35">
      <c r="A371" s="169">
        <f t="shared" si="21"/>
        <v>360</v>
      </c>
      <c r="B371" s="13" t="s">
        <v>450</v>
      </c>
      <c r="C371" s="11">
        <v>1191.96</v>
      </c>
      <c r="D371" s="10" t="s">
        <v>290</v>
      </c>
      <c r="E371" s="17"/>
      <c r="F371" s="17"/>
      <c r="G371" s="17">
        <v>-6</v>
      </c>
      <c r="H371" s="17">
        <f t="shared" si="24"/>
        <v>-7151.76</v>
      </c>
      <c r="I371" s="73"/>
      <c r="J371" s="18">
        <f t="shared" si="25"/>
        <v>0</v>
      </c>
    </row>
    <row r="372" spans="1:10" x14ac:dyDescent="0.35">
      <c r="A372" s="169">
        <f t="shared" si="21"/>
        <v>361</v>
      </c>
      <c r="B372" s="9" t="s">
        <v>451</v>
      </c>
      <c r="C372" s="11"/>
      <c r="D372" s="10"/>
      <c r="E372" s="17"/>
      <c r="F372" s="17"/>
      <c r="G372" s="17"/>
      <c r="H372" s="17">
        <f t="shared" si="24"/>
        <v>0</v>
      </c>
      <c r="I372" s="73"/>
      <c r="J372" s="18">
        <f t="shared" si="25"/>
        <v>0</v>
      </c>
    </row>
    <row r="373" spans="1:10" x14ac:dyDescent="0.35">
      <c r="A373" s="169">
        <f t="shared" si="21"/>
        <v>362</v>
      </c>
      <c r="B373" s="13" t="s">
        <v>420</v>
      </c>
      <c r="C373" s="11">
        <v>11.378444999999999</v>
      </c>
      <c r="D373" s="10" t="s">
        <v>300</v>
      </c>
      <c r="E373" s="17"/>
      <c r="F373" s="17"/>
      <c r="G373" s="17">
        <v>-65</v>
      </c>
      <c r="H373" s="17">
        <f t="shared" si="24"/>
        <v>-739.59892500000001</v>
      </c>
      <c r="I373" s="73"/>
      <c r="J373" s="18">
        <f t="shared" si="25"/>
        <v>0</v>
      </c>
    </row>
    <row r="374" spans="1:10" x14ac:dyDescent="0.35">
      <c r="A374" s="169">
        <f t="shared" si="21"/>
        <v>363</v>
      </c>
      <c r="B374" s="13" t="s">
        <v>421</v>
      </c>
      <c r="C374" s="11">
        <v>1.1848649999999998</v>
      </c>
      <c r="D374" s="10" t="s">
        <v>300</v>
      </c>
      <c r="E374" s="17"/>
      <c r="F374" s="17"/>
      <c r="G374" s="17">
        <v>-260</v>
      </c>
      <c r="H374" s="17">
        <f t="shared" si="24"/>
        <v>-308.06489999999997</v>
      </c>
      <c r="I374" s="73"/>
      <c r="J374" s="18">
        <f t="shared" si="25"/>
        <v>0</v>
      </c>
    </row>
    <row r="375" spans="1:10" x14ac:dyDescent="0.35">
      <c r="A375" s="169">
        <f t="shared" si="21"/>
        <v>364</v>
      </c>
      <c r="B375" s="13" t="s">
        <v>452</v>
      </c>
      <c r="C375" s="11">
        <v>1489.95</v>
      </c>
      <c r="D375" s="10" t="s">
        <v>290</v>
      </c>
      <c r="E375" s="17"/>
      <c r="F375" s="17"/>
      <c r="G375" s="17">
        <v>-6</v>
      </c>
      <c r="H375" s="17">
        <f t="shared" si="24"/>
        <v>-8939.7000000000007</v>
      </c>
      <c r="I375" s="73"/>
      <c r="J375" s="18">
        <f t="shared" si="25"/>
        <v>0</v>
      </c>
    </row>
    <row r="376" spans="1:10" x14ac:dyDescent="0.35">
      <c r="A376" s="169">
        <f t="shared" si="21"/>
        <v>365</v>
      </c>
      <c r="B376" s="9" t="s">
        <v>453</v>
      </c>
      <c r="C376" s="11"/>
      <c r="D376" s="10"/>
      <c r="E376" s="17"/>
      <c r="F376" s="17"/>
      <c r="G376" s="17"/>
      <c r="H376" s="17">
        <f t="shared" si="24"/>
        <v>0</v>
      </c>
      <c r="I376" s="73"/>
      <c r="J376" s="18">
        <f t="shared" si="25"/>
        <v>0</v>
      </c>
    </row>
    <row r="377" spans="1:10" x14ac:dyDescent="0.35">
      <c r="A377" s="169">
        <f t="shared" si="21"/>
        <v>366</v>
      </c>
      <c r="B377" s="13" t="s">
        <v>420</v>
      </c>
      <c r="C377" s="11">
        <v>11.378444999999999</v>
      </c>
      <c r="D377" s="10" t="s">
        <v>300</v>
      </c>
      <c r="E377" s="17"/>
      <c r="F377" s="17"/>
      <c r="G377" s="17">
        <v>-150</v>
      </c>
      <c r="H377" s="17">
        <f t="shared" si="24"/>
        <v>-1706.7667499999998</v>
      </c>
      <c r="I377" s="73"/>
      <c r="J377" s="18">
        <f t="shared" si="25"/>
        <v>0</v>
      </c>
    </row>
    <row r="378" spans="1:10" x14ac:dyDescent="0.35">
      <c r="A378" s="169">
        <f t="shared" si="21"/>
        <v>367</v>
      </c>
      <c r="B378" s="13" t="s">
        <v>423</v>
      </c>
      <c r="C378" s="11">
        <v>1.586055</v>
      </c>
      <c r="D378" s="10" t="s">
        <v>300</v>
      </c>
      <c r="E378" s="17"/>
      <c r="F378" s="17"/>
      <c r="G378" s="17">
        <v>-600</v>
      </c>
      <c r="H378" s="17">
        <f t="shared" si="24"/>
        <v>-951.63300000000004</v>
      </c>
      <c r="I378" s="73"/>
      <c r="J378" s="18">
        <f t="shared" si="25"/>
        <v>0</v>
      </c>
    </row>
    <row r="379" spans="1:10" x14ac:dyDescent="0.35">
      <c r="A379" s="169">
        <f t="shared" si="21"/>
        <v>368</v>
      </c>
      <c r="B379" s="13" t="s">
        <v>454</v>
      </c>
      <c r="C379" s="11">
        <v>65.048249999999996</v>
      </c>
      <c r="D379" s="10" t="s">
        <v>290</v>
      </c>
      <c r="E379" s="17"/>
      <c r="F379" s="17"/>
      <c r="G379" s="17">
        <v>-4</v>
      </c>
      <c r="H379" s="17">
        <f t="shared" si="24"/>
        <v>-260.19299999999998</v>
      </c>
      <c r="I379" s="73"/>
      <c r="J379" s="18">
        <f t="shared" si="25"/>
        <v>0</v>
      </c>
    </row>
    <row r="380" spans="1:10" x14ac:dyDescent="0.35">
      <c r="A380" s="169">
        <f t="shared" si="21"/>
        <v>369</v>
      </c>
      <c r="B380" s="13" t="s">
        <v>420</v>
      </c>
      <c r="C380" s="11">
        <v>11.378444999999999</v>
      </c>
      <c r="D380" s="10" t="s">
        <v>300</v>
      </c>
      <c r="E380" s="17"/>
      <c r="F380" s="17"/>
      <c r="G380" s="17">
        <v>-80</v>
      </c>
      <c r="H380" s="17">
        <f t="shared" si="24"/>
        <v>-910.27559999999994</v>
      </c>
      <c r="I380" s="73"/>
      <c r="J380" s="18">
        <f t="shared" si="25"/>
        <v>0</v>
      </c>
    </row>
    <row r="381" spans="1:10" x14ac:dyDescent="0.35">
      <c r="A381" s="169">
        <f t="shared" si="21"/>
        <v>370</v>
      </c>
      <c r="B381" s="13" t="s">
        <v>421</v>
      </c>
      <c r="C381" s="11">
        <v>1.1848649999999998</v>
      </c>
      <c r="D381" s="10" t="s">
        <v>300</v>
      </c>
      <c r="E381" s="17"/>
      <c r="F381" s="17"/>
      <c r="G381" s="17">
        <v>-320</v>
      </c>
      <c r="H381" s="17">
        <f t="shared" si="24"/>
        <v>-379.15679999999998</v>
      </c>
      <c r="I381" s="73"/>
      <c r="J381" s="18">
        <f t="shared" si="25"/>
        <v>0</v>
      </c>
    </row>
    <row r="382" spans="1:10" x14ac:dyDescent="0.35">
      <c r="A382" s="169">
        <f t="shared" si="21"/>
        <v>371</v>
      </c>
      <c r="B382" s="9"/>
      <c r="C382" s="11"/>
      <c r="D382" s="10"/>
      <c r="E382" s="17"/>
      <c r="F382" s="17"/>
      <c r="G382" s="17"/>
      <c r="H382" s="17">
        <f t="shared" si="24"/>
        <v>0</v>
      </c>
      <c r="I382" s="73"/>
      <c r="J382" s="18">
        <f t="shared" si="25"/>
        <v>0</v>
      </c>
    </row>
    <row r="383" spans="1:10" x14ac:dyDescent="0.35">
      <c r="A383" s="169">
        <f t="shared" si="21"/>
        <v>372</v>
      </c>
      <c r="B383" s="9" t="s">
        <v>465</v>
      </c>
      <c r="C383" s="11"/>
      <c r="D383" s="10"/>
      <c r="E383" s="17"/>
      <c r="F383" s="17"/>
      <c r="G383" s="17"/>
      <c r="H383" s="17"/>
      <c r="I383" s="73"/>
      <c r="J383" s="18">
        <f t="shared" si="25"/>
        <v>0</v>
      </c>
    </row>
    <row r="384" spans="1:10" x14ac:dyDescent="0.35">
      <c r="A384" s="169">
        <f t="shared" si="21"/>
        <v>373</v>
      </c>
      <c r="B384" s="9" t="s">
        <v>466</v>
      </c>
      <c r="C384" s="11"/>
      <c r="D384" s="10"/>
      <c r="E384" s="17"/>
      <c r="F384" s="17"/>
      <c r="G384" s="17"/>
      <c r="H384" s="17"/>
      <c r="I384" s="73"/>
      <c r="J384" s="18">
        <f t="shared" si="25"/>
        <v>0</v>
      </c>
    </row>
    <row r="385" spans="1:10" x14ac:dyDescent="0.35">
      <c r="A385" s="169">
        <f t="shared" si="21"/>
        <v>374</v>
      </c>
      <c r="B385" s="13" t="s">
        <v>467</v>
      </c>
      <c r="C385" s="11">
        <v>1000</v>
      </c>
      <c r="D385" s="10" t="s">
        <v>290</v>
      </c>
      <c r="E385" s="17"/>
      <c r="F385" s="17"/>
      <c r="G385" s="17"/>
      <c r="H385" s="17"/>
      <c r="I385" s="73">
        <v>1</v>
      </c>
      <c r="J385" s="18">
        <f t="shared" si="25"/>
        <v>1000</v>
      </c>
    </row>
    <row r="386" spans="1:10" x14ac:dyDescent="0.35">
      <c r="A386" s="169">
        <f t="shared" si="21"/>
        <v>375</v>
      </c>
      <c r="B386" s="9" t="s">
        <v>468</v>
      </c>
      <c r="C386" s="11"/>
      <c r="D386" s="10"/>
      <c r="E386" s="17"/>
      <c r="F386" s="17"/>
      <c r="G386" s="17"/>
      <c r="H386" s="17"/>
      <c r="I386" s="73"/>
      <c r="J386" s="18">
        <f t="shared" si="25"/>
        <v>0</v>
      </c>
    </row>
    <row r="387" spans="1:10" x14ac:dyDescent="0.35">
      <c r="A387" s="169">
        <f t="shared" si="21"/>
        <v>376</v>
      </c>
      <c r="B387" s="13" t="s">
        <v>448</v>
      </c>
      <c r="C387" s="11">
        <v>17.906490000000002</v>
      </c>
      <c r="D387" s="10" t="s">
        <v>300</v>
      </c>
      <c r="E387" s="17"/>
      <c r="F387" s="17"/>
      <c r="G387" s="17"/>
      <c r="H387" s="17"/>
      <c r="I387" s="73">
        <v>225</v>
      </c>
      <c r="J387" s="18">
        <f t="shared" si="25"/>
        <v>4028.9602500000005</v>
      </c>
    </row>
    <row r="388" spans="1:10" x14ac:dyDescent="0.35">
      <c r="A388" s="169">
        <f t="shared" si="21"/>
        <v>377</v>
      </c>
      <c r="B388" s="13" t="s">
        <v>469</v>
      </c>
      <c r="C388" s="11">
        <v>5.3408321999999995</v>
      </c>
      <c r="D388" s="10" t="s">
        <v>300</v>
      </c>
      <c r="E388" s="17"/>
      <c r="F388" s="17"/>
      <c r="G388" s="17"/>
      <c r="H388" s="17"/>
      <c r="I388" s="73">
        <v>900</v>
      </c>
      <c r="J388" s="18">
        <f t="shared" si="25"/>
        <v>4806.7489799999994</v>
      </c>
    </row>
    <row r="389" spans="1:10" x14ac:dyDescent="0.35">
      <c r="A389" s="169">
        <f t="shared" ref="A389:A442" si="26">ROW()-11</f>
        <v>378</v>
      </c>
      <c r="B389" s="13" t="s">
        <v>470</v>
      </c>
      <c r="C389" s="11">
        <v>2.7256613175000002</v>
      </c>
      <c r="D389" s="10" t="s">
        <v>300</v>
      </c>
      <c r="E389" s="17"/>
      <c r="F389" s="17"/>
      <c r="G389" s="17"/>
      <c r="H389" s="17"/>
      <c r="I389" s="73">
        <v>225</v>
      </c>
      <c r="J389" s="18">
        <f t="shared" si="25"/>
        <v>613.2737964375001</v>
      </c>
    </row>
    <row r="390" spans="1:10" x14ac:dyDescent="0.35">
      <c r="A390" s="169">
        <f t="shared" si="26"/>
        <v>379</v>
      </c>
      <c r="B390" s="9" t="s">
        <v>464</v>
      </c>
      <c r="C390" s="11"/>
      <c r="D390" s="10"/>
      <c r="E390" s="17"/>
      <c r="F390" s="17"/>
      <c r="G390" s="17"/>
      <c r="H390" s="17"/>
      <c r="I390" s="73"/>
      <c r="J390" s="18">
        <f t="shared" si="25"/>
        <v>0</v>
      </c>
    </row>
    <row r="391" spans="1:10" x14ac:dyDescent="0.35">
      <c r="A391" s="169">
        <f t="shared" si="26"/>
        <v>380</v>
      </c>
      <c r="B391" s="13" t="s">
        <v>878</v>
      </c>
      <c r="C391" s="11">
        <v>2500</v>
      </c>
      <c r="D391" s="10" t="s">
        <v>290</v>
      </c>
      <c r="E391" s="17"/>
      <c r="F391" s="17"/>
      <c r="G391" s="17"/>
      <c r="H391" s="17"/>
      <c r="I391" s="73">
        <v>1</v>
      </c>
      <c r="J391" s="18">
        <f t="shared" ref="J391:J422" si="27">I391*$C391</f>
        <v>2500</v>
      </c>
    </row>
    <row r="392" spans="1:10" x14ac:dyDescent="0.35">
      <c r="A392" s="169">
        <f t="shared" si="26"/>
        <v>381</v>
      </c>
      <c r="B392" s="9" t="s">
        <v>875</v>
      </c>
      <c r="C392" s="11"/>
      <c r="D392" s="10"/>
      <c r="E392" s="17"/>
      <c r="F392" s="17"/>
      <c r="G392" s="17"/>
      <c r="H392" s="17"/>
      <c r="I392" s="73"/>
      <c r="J392" s="18">
        <f t="shared" si="27"/>
        <v>0</v>
      </c>
    </row>
    <row r="393" spans="1:10" x14ac:dyDescent="0.35">
      <c r="A393" s="169">
        <f t="shared" si="26"/>
        <v>382</v>
      </c>
      <c r="B393" s="292" t="s">
        <v>876</v>
      </c>
      <c r="C393" s="11">
        <v>27.93</v>
      </c>
      <c r="D393" s="10" t="s">
        <v>300</v>
      </c>
      <c r="E393" s="17"/>
      <c r="F393" s="17"/>
      <c r="G393" s="17"/>
      <c r="H393" s="17"/>
      <c r="I393" s="73">
        <v>190</v>
      </c>
      <c r="J393" s="18">
        <f t="shared" si="27"/>
        <v>5306.7</v>
      </c>
    </row>
    <row r="394" spans="1:10" x14ac:dyDescent="0.35">
      <c r="A394" s="169">
        <f t="shared" si="26"/>
        <v>383</v>
      </c>
      <c r="B394" s="292" t="s">
        <v>681</v>
      </c>
      <c r="C394" s="11">
        <v>15.5</v>
      </c>
      <c r="D394" s="10" t="s">
        <v>300</v>
      </c>
      <c r="E394" s="17"/>
      <c r="F394" s="17"/>
      <c r="G394" s="17"/>
      <c r="H394" s="17"/>
      <c r="I394" s="73">
        <v>570</v>
      </c>
      <c r="J394" s="18">
        <f t="shared" si="27"/>
        <v>8835</v>
      </c>
    </row>
    <row r="395" spans="1:10" x14ac:dyDescent="0.35">
      <c r="A395" s="169">
        <f t="shared" si="26"/>
        <v>384</v>
      </c>
      <c r="B395" s="292" t="s">
        <v>877</v>
      </c>
      <c r="C395" s="11">
        <v>3.95</v>
      </c>
      <c r="D395" s="10" t="s">
        <v>300</v>
      </c>
      <c r="E395" s="17"/>
      <c r="F395" s="17"/>
      <c r="G395" s="17"/>
      <c r="H395" s="17"/>
      <c r="I395" s="73">
        <v>190</v>
      </c>
      <c r="J395" s="18">
        <f t="shared" si="27"/>
        <v>750.5</v>
      </c>
    </row>
    <row r="396" spans="1:10" x14ac:dyDescent="0.35">
      <c r="A396" s="169">
        <f t="shared" si="26"/>
        <v>385</v>
      </c>
      <c r="B396" s="9" t="s">
        <v>425</v>
      </c>
      <c r="C396" s="11"/>
      <c r="D396" s="10"/>
      <c r="E396" s="17"/>
      <c r="F396" s="17"/>
      <c r="G396" s="17"/>
      <c r="H396" s="17"/>
      <c r="I396" s="73"/>
      <c r="J396" s="18">
        <f t="shared" si="27"/>
        <v>0</v>
      </c>
    </row>
    <row r="397" spans="1:10" x14ac:dyDescent="0.35">
      <c r="A397" s="169">
        <f t="shared" si="26"/>
        <v>386</v>
      </c>
      <c r="B397" s="13" t="s">
        <v>426</v>
      </c>
      <c r="C397" s="11">
        <v>1191.96</v>
      </c>
      <c r="D397" s="10" t="s">
        <v>290</v>
      </c>
      <c r="E397" s="17"/>
      <c r="F397" s="17"/>
      <c r="G397" s="17"/>
      <c r="H397" s="17"/>
      <c r="I397" s="73">
        <v>2</v>
      </c>
      <c r="J397" s="18">
        <f t="shared" si="27"/>
        <v>2383.92</v>
      </c>
    </row>
    <row r="398" spans="1:10" x14ac:dyDescent="0.35">
      <c r="A398" s="169">
        <f t="shared" si="26"/>
        <v>387</v>
      </c>
      <c r="B398" s="9" t="s">
        <v>427</v>
      </c>
      <c r="C398" s="11"/>
      <c r="D398" s="10"/>
      <c r="E398" s="17"/>
      <c r="F398" s="17"/>
      <c r="G398" s="17"/>
      <c r="H398" s="17"/>
      <c r="I398" s="73"/>
      <c r="J398" s="18">
        <f t="shared" si="27"/>
        <v>0</v>
      </c>
    </row>
    <row r="399" spans="1:10" x14ac:dyDescent="0.35">
      <c r="A399" s="169">
        <f t="shared" si="26"/>
        <v>388</v>
      </c>
      <c r="B399" s="13" t="s">
        <v>420</v>
      </c>
      <c r="C399" s="11">
        <v>11.378444999999999</v>
      </c>
      <c r="D399" s="10" t="s">
        <v>300</v>
      </c>
      <c r="E399" s="17"/>
      <c r="F399" s="17"/>
      <c r="G399" s="17"/>
      <c r="H399" s="17"/>
      <c r="I399" s="73">
        <v>55</v>
      </c>
      <c r="J399" s="18">
        <f t="shared" si="27"/>
        <v>625.8144749999999</v>
      </c>
    </row>
    <row r="400" spans="1:10" x14ac:dyDescent="0.35">
      <c r="A400" s="169">
        <f t="shared" si="26"/>
        <v>389</v>
      </c>
      <c r="B400" s="13" t="s">
        <v>421</v>
      </c>
      <c r="C400" s="11">
        <v>1.1848649999999998</v>
      </c>
      <c r="D400" s="10" t="s">
        <v>300</v>
      </c>
      <c r="E400" s="17"/>
      <c r="F400" s="17"/>
      <c r="G400" s="17"/>
      <c r="H400" s="17"/>
      <c r="I400" s="73">
        <v>220</v>
      </c>
      <c r="J400" s="18">
        <f t="shared" si="27"/>
        <v>260.67029999999994</v>
      </c>
    </row>
    <row r="401" spans="1:10" x14ac:dyDescent="0.35">
      <c r="A401" s="169">
        <f t="shared" si="26"/>
        <v>390</v>
      </c>
      <c r="B401" s="13" t="s">
        <v>471</v>
      </c>
      <c r="C401" s="11">
        <v>65.048249999999996</v>
      </c>
      <c r="D401" s="10" t="s">
        <v>290</v>
      </c>
      <c r="E401" s="17"/>
      <c r="F401" s="17"/>
      <c r="G401" s="17"/>
      <c r="H401" s="17"/>
      <c r="I401" s="73">
        <v>51</v>
      </c>
      <c r="J401" s="18">
        <f t="shared" si="27"/>
        <v>3317.4607499999997</v>
      </c>
    </row>
    <row r="402" spans="1:10" x14ac:dyDescent="0.35">
      <c r="A402" s="169">
        <f t="shared" si="26"/>
        <v>391</v>
      </c>
      <c r="B402" s="13" t="s">
        <v>420</v>
      </c>
      <c r="C402" s="11">
        <v>11.378444999999999</v>
      </c>
      <c r="D402" s="10" t="s">
        <v>300</v>
      </c>
      <c r="E402" s="17"/>
      <c r="F402" s="17"/>
      <c r="G402" s="17"/>
      <c r="H402" s="17"/>
      <c r="I402" s="73">
        <v>765</v>
      </c>
      <c r="J402" s="18">
        <f t="shared" si="27"/>
        <v>8704.5104249999986</v>
      </c>
    </row>
    <row r="403" spans="1:10" x14ac:dyDescent="0.35">
      <c r="A403" s="169">
        <f t="shared" si="26"/>
        <v>392</v>
      </c>
      <c r="B403" s="13" t="s">
        <v>421</v>
      </c>
      <c r="C403" s="11">
        <v>1.1848649999999998</v>
      </c>
      <c r="D403" s="10" t="s">
        <v>300</v>
      </c>
      <c r="E403" s="17"/>
      <c r="F403" s="17"/>
      <c r="G403" s="17"/>
      <c r="H403" s="17"/>
      <c r="I403" s="73">
        <v>2295</v>
      </c>
      <c r="J403" s="18">
        <f t="shared" si="27"/>
        <v>2719.2651749999995</v>
      </c>
    </row>
    <row r="404" spans="1:10" x14ac:dyDescent="0.35">
      <c r="A404" s="169">
        <f t="shared" si="26"/>
        <v>393</v>
      </c>
      <c r="B404" s="9"/>
      <c r="C404" s="11"/>
      <c r="D404" s="10"/>
      <c r="E404" s="17"/>
      <c r="F404" s="17"/>
      <c r="G404" s="17"/>
      <c r="H404" s="17"/>
      <c r="I404" s="73"/>
      <c r="J404" s="18">
        <f t="shared" si="27"/>
        <v>0</v>
      </c>
    </row>
    <row r="405" spans="1:10" x14ac:dyDescent="0.35">
      <c r="A405" s="169">
        <f t="shared" si="26"/>
        <v>394</v>
      </c>
      <c r="B405" s="9" t="s">
        <v>437</v>
      </c>
      <c r="C405" s="11"/>
      <c r="D405" s="10"/>
      <c r="E405" s="17"/>
      <c r="F405" s="17"/>
      <c r="G405" s="17"/>
      <c r="H405" s="17"/>
      <c r="I405" s="73"/>
      <c r="J405" s="18">
        <f t="shared" si="27"/>
        <v>0</v>
      </c>
    </row>
    <row r="406" spans="1:10" x14ac:dyDescent="0.35">
      <c r="A406" s="169">
        <f t="shared" si="26"/>
        <v>395</v>
      </c>
      <c r="B406" s="9" t="s">
        <v>438</v>
      </c>
      <c r="C406" s="11"/>
      <c r="D406" s="10"/>
      <c r="E406" s="17"/>
      <c r="F406" s="17"/>
      <c r="G406" s="17"/>
      <c r="H406" s="17"/>
      <c r="I406" s="73"/>
      <c r="J406" s="18">
        <f t="shared" si="27"/>
        <v>0</v>
      </c>
    </row>
    <row r="407" spans="1:10" x14ac:dyDescent="0.35">
      <c r="A407" s="169">
        <f t="shared" si="26"/>
        <v>396</v>
      </c>
      <c r="B407" s="13" t="s">
        <v>439</v>
      </c>
      <c r="C407" s="11">
        <v>1364.6742300000001</v>
      </c>
      <c r="D407" s="10" t="s">
        <v>290</v>
      </c>
      <c r="E407" s="17"/>
      <c r="F407" s="17"/>
      <c r="G407" s="17"/>
      <c r="H407" s="17"/>
      <c r="I407" s="73">
        <v>-2</v>
      </c>
      <c r="J407" s="18">
        <f t="shared" si="27"/>
        <v>-2729.3484600000002</v>
      </c>
    </row>
    <row r="408" spans="1:10" x14ac:dyDescent="0.35">
      <c r="A408" s="169">
        <f t="shared" si="26"/>
        <v>397</v>
      </c>
      <c r="B408" s="9" t="s">
        <v>440</v>
      </c>
      <c r="C408" s="11"/>
      <c r="D408" s="10"/>
      <c r="E408" s="17"/>
      <c r="F408" s="17"/>
      <c r="G408" s="17"/>
      <c r="H408" s="17"/>
      <c r="I408" s="73"/>
      <c r="J408" s="18">
        <f t="shared" si="27"/>
        <v>0</v>
      </c>
    </row>
    <row r="409" spans="1:10" x14ac:dyDescent="0.35">
      <c r="A409" s="169">
        <f t="shared" si="26"/>
        <v>398</v>
      </c>
      <c r="B409" s="13" t="s">
        <v>441</v>
      </c>
      <c r="C409" s="11">
        <v>20.362198499999998</v>
      </c>
      <c r="D409" s="10" t="s">
        <v>300</v>
      </c>
      <c r="E409" s="17"/>
      <c r="F409" s="17"/>
      <c r="G409" s="17"/>
      <c r="H409" s="17"/>
      <c r="I409" s="73">
        <v>-300</v>
      </c>
      <c r="J409" s="18">
        <f t="shared" si="27"/>
        <v>-6108.6595499999994</v>
      </c>
    </row>
    <row r="410" spans="1:10" x14ac:dyDescent="0.35">
      <c r="A410" s="169">
        <f t="shared" si="26"/>
        <v>399</v>
      </c>
      <c r="B410" s="13" t="s">
        <v>442</v>
      </c>
      <c r="C410" s="11">
        <v>9.0912492</v>
      </c>
      <c r="D410" s="10" t="s">
        <v>300</v>
      </c>
      <c r="E410" s="17"/>
      <c r="F410" s="17"/>
      <c r="G410" s="17"/>
      <c r="H410" s="17"/>
      <c r="I410" s="73">
        <v>-900</v>
      </c>
      <c r="J410" s="18">
        <f t="shared" si="27"/>
        <v>-8182.12428</v>
      </c>
    </row>
    <row r="411" spans="1:10" x14ac:dyDescent="0.35">
      <c r="A411" s="169">
        <f t="shared" si="26"/>
        <v>400</v>
      </c>
      <c r="B411" s="13" t="s">
        <v>431</v>
      </c>
      <c r="C411" s="11">
        <v>3.5374499324999991</v>
      </c>
      <c r="D411" s="10" t="s">
        <v>300</v>
      </c>
      <c r="E411" s="17"/>
      <c r="F411" s="17"/>
      <c r="G411" s="17"/>
      <c r="H411" s="17"/>
      <c r="I411" s="73">
        <v>-300</v>
      </c>
      <c r="J411" s="18">
        <f t="shared" si="27"/>
        <v>-1061.2349797499996</v>
      </c>
    </row>
    <row r="412" spans="1:10" x14ac:dyDescent="0.35">
      <c r="A412" s="169">
        <f t="shared" si="26"/>
        <v>401</v>
      </c>
      <c r="B412" s="9" t="s">
        <v>443</v>
      </c>
      <c r="C412" s="11"/>
      <c r="D412" s="10"/>
      <c r="E412" s="17"/>
      <c r="F412" s="17"/>
      <c r="G412" s="17"/>
      <c r="H412" s="17"/>
      <c r="I412" s="73"/>
      <c r="J412" s="18">
        <f t="shared" si="27"/>
        <v>0</v>
      </c>
    </row>
    <row r="413" spans="1:10" x14ac:dyDescent="0.35">
      <c r="A413" s="169">
        <f t="shared" si="26"/>
        <v>402</v>
      </c>
      <c r="B413" s="13" t="s">
        <v>426</v>
      </c>
      <c r="C413" s="11">
        <v>1191.96</v>
      </c>
      <c r="D413" s="10" t="s">
        <v>290</v>
      </c>
      <c r="E413" s="17"/>
      <c r="F413" s="17"/>
      <c r="G413" s="17"/>
      <c r="H413" s="17"/>
      <c r="I413" s="73">
        <v>-3</v>
      </c>
      <c r="J413" s="18">
        <f t="shared" si="27"/>
        <v>-3575.88</v>
      </c>
    </row>
    <row r="414" spans="1:10" x14ac:dyDescent="0.35">
      <c r="A414" s="169">
        <f t="shared" si="26"/>
        <v>403</v>
      </c>
      <c r="B414" s="9" t="s">
        <v>444</v>
      </c>
      <c r="C414" s="11"/>
      <c r="D414" s="10"/>
      <c r="E414" s="17"/>
      <c r="F414" s="17"/>
      <c r="G414" s="17"/>
      <c r="H414" s="17"/>
      <c r="I414" s="73"/>
      <c r="J414" s="18">
        <f t="shared" si="27"/>
        <v>0</v>
      </c>
    </row>
    <row r="415" spans="1:10" x14ac:dyDescent="0.35">
      <c r="A415" s="169">
        <f t="shared" si="26"/>
        <v>404</v>
      </c>
      <c r="B415" s="13" t="s">
        <v>420</v>
      </c>
      <c r="C415" s="11">
        <v>11.378444999999999</v>
      </c>
      <c r="D415" s="10" t="s">
        <v>300</v>
      </c>
      <c r="E415" s="17"/>
      <c r="F415" s="17"/>
      <c r="G415" s="17"/>
      <c r="H415" s="17"/>
      <c r="I415" s="73">
        <v>-60</v>
      </c>
      <c r="J415" s="18">
        <f t="shared" si="27"/>
        <v>-682.70669999999996</v>
      </c>
    </row>
    <row r="416" spans="1:10" x14ac:dyDescent="0.35">
      <c r="A416" s="169">
        <f t="shared" si="26"/>
        <v>405</v>
      </c>
      <c r="B416" s="13" t="s">
        <v>421</v>
      </c>
      <c r="C416" s="11">
        <v>1.1848649999999998</v>
      </c>
      <c r="D416" s="10" t="s">
        <v>300</v>
      </c>
      <c r="E416" s="17"/>
      <c r="F416" s="17"/>
      <c r="G416" s="17"/>
      <c r="H416" s="17"/>
      <c r="I416" s="73">
        <v>-240</v>
      </c>
      <c r="J416" s="18">
        <f t="shared" si="27"/>
        <v>-284.36759999999998</v>
      </c>
    </row>
    <row r="417" spans="1:10" x14ac:dyDescent="0.35">
      <c r="A417" s="169">
        <f t="shared" si="26"/>
        <v>406</v>
      </c>
      <c r="B417" s="9" t="s">
        <v>445</v>
      </c>
      <c r="C417" s="11"/>
      <c r="D417" s="10"/>
      <c r="E417" s="17"/>
      <c r="F417" s="17"/>
      <c r="G417" s="17"/>
      <c r="H417" s="17"/>
      <c r="I417" s="73"/>
      <c r="J417" s="18">
        <f t="shared" si="27"/>
        <v>0</v>
      </c>
    </row>
    <row r="418" spans="1:10" x14ac:dyDescent="0.35">
      <c r="A418" s="169">
        <f t="shared" si="26"/>
        <v>407</v>
      </c>
      <c r="B418" s="13" t="s">
        <v>420</v>
      </c>
      <c r="C418" s="11">
        <v>11.378444999999999</v>
      </c>
      <c r="D418" s="10" t="s">
        <v>300</v>
      </c>
      <c r="E418" s="17"/>
      <c r="F418" s="17"/>
      <c r="G418" s="17"/>
      <c r="H418" s="17"/>
      <c r="I418" s="73">
        <v>-30</v>
      </c>
      <c r="J418" s="18">
        <f t="shared" si="27"/>
        <v>-341.35334999999998</v>
      </c>
    </row>
    <row r="419" spans="1:10" x14ac:dyDescent="0.35">
      <c r="A419" s="169">
        <f t="shared" si="26"/>
        <v>408</v>
      </c>
      <c r="B419" s="13" t="s">
        <v>421</v>
      </c>
      <c r="C419" s="11">
        <v>1.1848649999999998</v>
      </c>
      <c r="D419" s="10" t="s">
        <v>300</v>
      </c>
      <c r="E419" s="17"/>
      <c r="F419" s="17"/>
      <c r="G419" s="17"/>
      <c r="H419" s="17"/>
      <c r="I419" s="73">
        <v>-120</v>
      </c>
      <c r="J419" s="18">
        <f t="shared" si="27"/>
        <v>-142.18379999999999</v>
      </c>
    </row>
    <row r="420" spans="1:10" x14ac:dyDescent="0.35">
      <c r="A420" s="169">
        <f t="shared" si="26"/>
        <v>409</v>
      </c>
      <c r="B420" s="9" t="s">
        <v>428</v>
      </c>
      <c r="C420" s="11"/>
      <c r="D420" s="10"/>
      <c r="E420" s="17"/>
      <c r="F420" s="17"/>
      <c r="G420" s="17"/>
      <c r="H420" s="17"/>
      <c r="I420" s="73"/>
      <c r="J420" s="18">
        <f t="shared" si="27"/>
        <v>0</v>
      </c>
    </row>
    <row r="421" spans="1:10" x14ac:dyDescent="0.35">
      <c r="A421" s="169">
        <f t="shared" si="26"/>
        <v>410</v>
      </c>
      <c r="B421" s="13" t="s">
        <v>446</v>
      </c>
      <c r="C421" s="11">
        <v>3984.9249999999997</v>
      </c>
      <c r="D421" s="10" t="s">
        <v>290</v>
      </c>
      <c r="E421" s="17"/>
      <c r="F421" s="17"/>
      <c r="G421" s="17"/>
      <c r="H421" s="17"/>
      <c r="I421" s="73">
        <v>-3</v>
      </c>
      <c r="J421" s="18">
        <f t="shared" si="27"/>
        <v>-11954.775</v>
      </c>
    </row>
    <row r="422" spans="1:10" x14ac:dyDescent="0.35">
      <c r="A422" s="169">
        <f t="shared" si="26"/>
        <v>411</v>
      </c>
      <c r="B422" s="9" t="s">
        <v>447</v>
      </c>
      <c r="C422" s="11"/>
      <c r="D422" s="10"/>
      <c r="E422" s="17"/>
      <c r="F422" s="17"/>
      <c r="G422" s="17"/>
      <c r="H422" s="17"/>
      <c r="I422" s="73"/>
      <c r="J422" s="18">
        <f t="shared" si="27"/>
        <v>0</v>
      </c>
    </row>
    <row r="423" spans="1:10" x14ac:dyDescent="0.35">
      <c r="A423" s="169">
        <f t="shared" si="26"/>
        <v>412</v>
      </c>
      <c r="B423" s="13" t="s">
        <v>448</v>
      </c>
      <c r="C423" s="11">
        <v>17.906490000000002</v>
      </c>
      <c r="D423" s="10" t="s">
        <v>300</v>
      </c>
      <c r="E423" s="17"/>
      <c r="F423" s="17"/>
      <c r="G423" s="17"/>
      <c r="H423" s="17"/>
      <c r="I423" s="73">
        <v>-350</v>
      </c>
      <c r="J423" s="18">
        <f t="shared" ref="J423:J440" si="28">I423*$C423</f>
        <v>-6267.2715000000007</v>
      </c>
    </row>
    <row r="424" spans="1:10" x14ac:dyDescent="0.35">
      <c r="A424" s="169">
        <f t="shared" si="26"/>
        <v>413</v>
      </c>
      <c r="B424" s="13" t="s">
        <v>449</v>
      </c>
      <c r="C424" s="11">
        <v>4.5398563649999994</v>
      </c>
      <c r="D424" s="10" t="s">
        <v>300</v>
      </c>
      <c r="E424" s="17"/>
      <c r="F424" s="17"/>
      <c r="G424" s="17"/>
      <c r="H424" s="17"/>
      <c r="I424" s="73">
        <v>-1050</v>
      </c>
      <c r="J424" s="18">
        <f t="shared" si="28"/>
        <v>-4766.8491832499994</v>
      </c>
    </row>
    <row r="425" spans="1:10" x14ac:dyDescent="0.35">
      <c r="A425" s="169">
        <f t="shared" si="26"/>
        <v>414</v>
      </c>
      <c r="B425" s="13" t="s">
        <v>432</v>
      </c>
      <c r="C425" s="11">
        <v>2.1136005</v>
      </c>
      <c r="D425" s="10" t="s">
        <v>300</v>
      </c>
      <c r="E425" s="17"/>
      <c r="F425" s="17"/>
      <c r="G425" s="17"/>
      <c r="H425" s="17"/>
      <c r="I425" s="73">
        <v>-350</v>
      </c>
      <c r="J425" s="18">
        <f t="shared" si="28"/>
        <v>-739.760175</v>
      </c>
    </row>
    <row r="426" spans="1:10" x14ac:dyDescent="0.35">
      <c r="A426" s="169">
        <f t="shared" si="26"/>
        <v>415</v>
      </c>
      <c r="B426" s="13" t="s">
        <v>450</v>
      </c>
      <c r="C426" s="11">
        <v>1191.96</v>
      </c>
      <c r="D426" s="10" t="s">
        <v>290</v>
      </c>
      <c r="E426" s="17"/>
      <c r="F426" s="17"/>
      <c r="G426" s="17"/>
      <c r="H426" s="17"/>
      <c r="I426" s="73">
        <v>-6</v>
      </c>
      <c r="J426" s="18">
        <f t="shared" si="28"/>
        <v>-7151.76</v>
      </c>
    </row>
    <row r="427" spans="1:10" x14ac:dyDescent="0.35">
      <c r="A427" s="169">
        <f t="shared" si="26"/>
        <v>416</v>
      </c>
      <c r="B427" s="9" t="s">
        <v>451</v>
      </c>
      <c r="C427" s="11"/>
      <c r="D427" s="10"/>
      <c r="E427" s="17"/>
      <c r="F427" s="17"/>
      <c r="G427" s="17"/>
      <c r="H427" s="17"/>
      <c r="I427" s="73"/>
      <c r="J427" s="18">
        <f t="shared" si="28"/>
        <v>0</v>
      </c>
    </row>
    <row r="428" spans="1:10" x14ac:dyDescent="0.35">
      <c r="A428" s="169">
        <f t="shared" si="26"/>
        <v>417</v>
      </c>
      <c r="B428" s="13" t="s">
        <v>420</v>
      </c>
      <c r="C428" s="11">
        <v>11.378444999999999</v>
      </c>
      <c r="D428" s="10" t="s">
        <v>300</v>
      </c>
      <c r="E428" s="17"/>
      <c r="F428" s="17"/>
      <c r="G428" s="17"/>
      <c r="H428" s="17"/>
      <c r="I428" s="73">
        <v>-65</v>
      </c>
      <c r="J428" s="18">
        <f t="shared" si="28"/>
        <v>-739.59892500000001</v>
      </c>
    </row>
    <row r="429" spans="1:10" x14ac:dyDescent="0.35">
      <c r="A429" s="169">
        <f t="shared" si="26"/>
        <v>418</v>
      </c>
      <c r="B429" s="13" t="s">
        <v>421</v>
      </c>
      <c r="C429" s="11">
        <v>1.1848649999999998</v>
      </c>
      <c r="D429" s="10" t="s">
        <v>300</v>
      </c>
      <c r="E429" s="17"/>
      <c r="F429" s="17"/>
      <c r="G429" s="17"/>
      <c r="H429" s="17"/>
      <c r="I429" s="73">
        <v>-260</v>
      </c>
      <c r="J429" s="18">
        <f t="shared" si="28"/>
        <v>-308.06489999999997</v>
      </c>
    </row>
    <row r="430" spans="1:10" x14ac:dyDescent="0.35">
      <c r="A430" s="169">
        <f t="shared" si="26"/>
        <v>419</v>
      </c>
      <c r="B430" s="13" t="s">
        <v>452</v>
      </c>
      <c r="C430" s="11">
        <v>1489.95</v>
      </c>
      <c r="D430" s="10" t="s">
        <v>290</v>
      </c>
      <c r="E430" s="17"/>
      <c r="F430" s="17"/>
      <c r="G430" s="17"/>
      <c r="H430" s="17"/>
      <c r="I430" s="73">
        <v>-6</v>
      </c>
      <c r="J430" s="18">
        <f t="shared" si="28"/>
        <v>-8939.7000000000007</v>
      </c>
    </row>
    <row r="431" spans="1:10" x14ac:dyDescent="0.35">
      <c r="A431" s="169">
        <f t="shared" si="26"/>
        <v>420</v>
      </c>
      <c r="B431" s="9" t="s">
        <v>453</v>
      </c>
      <c r="C431" s="11"/>
      <c r="D431" s="10"/>
      <c r="E431" s="17"/>
      <c r="F431" s="17"/>
      <c r="G431" s="17"/>
      <c r="H431" s="17"/>
      <c r="I431" s="73"/>
      <c r="J431" s="18">
        <f t="shared" si="28"/>
        <v>0</v>
      </c>
    </row>
    <row r="432" spans="1:10" x14ac:dyDescent="0.35">
      <c r="A432" s="169">
        <f t="shared" si="26"/>
        <v>421</v>
      </c>
      <c r="B432" s="13" t="s">
        <v>420</v>
      </c>
      <c r="C432" s="11">
        <v>11.378444999999999</v>
      </c>
      <c r="D432" s="10" t="s">
        <v>300</v>
      </c>
      <c r="E432" s="17"/>
      <c r="F432" s="17"/>
      <c r="G432" s="17"/>
      <c r="H432" s="17"/>
      <c r="I432" s="73">
        <v>-150</v>
      </c>
      <c r="J432" s="18">
        <f t="shared" si="28"/>
        <v>-1706.7667499999998</v>
      </c>
    </row>
    <row r="433" spans="1:12" x14ac:dyDescent="0.35">
      <c r="A433" s="169">
        <f t="shared" si="26"/>
        <v>422</v>
      </c>
      <c r="B433" s="13" t="s">
        <v>423</v>
      </c>
      <c r="C433" s="11">
        <v>1.586055</v>
      </c>
      <c r="D433" s="10" t="s">
        <v>300</v>
      </c>
      <c r="E433" s="17"/>
      <c r="F433" s="17"/>
      <c r="G433" s="17"/>
      <c r="H433" s="17"/>
      <c r="I433" s="73">
        <v>-600</v>
      </c>
      <c r="J433" s="18">
        <f t="shared" si="28"/>
        <v>-951.63300000000004</v>
      </c>
    </row>
    <row r="434" spans="1:12" x14ac:dyDescent="0.35">
      <c r="A434" s="169">
        <f t="shared" si="26"/>
        <v>423</v>
      </c>
      <c r="B434" s="13" t="s">
        <v>454</v>
      </c>
      <c r="C434" s="11">
        <v>65.048249999999996</v>
      </c>
      <c r="D434" s="10" t="s">
        <v>290</v>
      </c>
      <c r="E434" s="17"/>
      <c r="F434" s="17"/>
      <c r="G434" s="17"/>
      <c r="H434" s="17"/>
      <c r="I434" s="73">
        <v>-4</v>
      </c>
      <c r="J434" s="18">
        <f t="shared" si="28"/>
        <v>-260.19299999999998</v>
      </c>
    </row>
    <row r="435" spans="1:12" x14ac:dyDescent="0.35">
      <c r="A435" s="169">
        <f t="shared" si="26"/>
        <v>424</v>
      </c>
      <c r="B435" s="13" t="s">
        <v>420</v>
      </c>
      <c r="C435" s="11">
        <v>11.378444999999999</v>
      </c>
      <c r="D435" s="10" t="s">
        <v>300</v>
      </c>
      <c r="E435" s="17"/>
      <c r="F435" s="17"/>
      <c r="G435" s="17"/>
      <c r="H435" s="17"/>
      <c r="I435" s="73">
        <v>-80</v>
      </c>
      <c r="J435" s="18">
        <f t="shared" si="28"/>
        <v>-910.27559999999994</v>
      </c>
    </row>
    <row r="436" spans="1:12" x14ac:dyDescent="0.35">
      <c r="A436" s="169">
        <f t="shared" si="26"/>
        <v>425</v>
      </c>
      <c r="B436" s="13" t="s">
        <v>421</v>
      </c>
      <c r="C436" s="11">
        <v>1.1848649999999998</v>
      </c>
      <c r="D436" s="10" t="s">
        <v>300</v>
      </c>
      <c r="E436" s="17"/>
      <c r="F436" s="17"/>
      <c r="G436" s="17"/>
      <c r="H436" s="17"/>
      <c r="I436" s="73">
        <v>-320</v>
      </c>
      <c r="J436" s="18">
        <f t="shared" si="28"/>
        <v>-379.15679999999998</v>
      </c>
    </row>
    <row r="437" spans="1:12" x14ac:dyDescent="0.35">
      <c r="A437" s="169">
        <f t="shared" si="26"/>
        <v>426</v>
      </c>
      <c r="B437" s="13" t="s">
        <v>472</v>
      </c>
      <c r="C437" s="11">
        <v>65.048249999999996</v>
      </c>
      <c r="D437" s="10" t="s">
        <v>290</v>
      </c>
      <c r="E437" s="17"/>
      <c r="F437" s="17"/>
      <c r="G437" s="17"/>
      <c r="H437" s="17"/>
      <c r="I437" s="73">
        <v>-68</v>
      </c>
      <c r="J437" s="18">
        <f t="shared" si="28"/>
        <v>-4423.2809999999999</v>
      </c>
    </row>
    <row r="438" spans="1:12" x14ac:dyDescent="0.35">
      <c r="A438" s="169">
        <f t="shared" si="26"/>
        <v>427</v>
      </c>
      <c r="B438" s="13" t="s">
        <v>420</v>
      </c>
      <c r="C438" s="11">
        <v>11.378444999999999</v>
      </c>
      <c r="D438" s="10" t="s">
        <v>300</v>
      </c>
      <c r="E438" s="17"/>
      <c r="F438" s="17"/>
      <c r="G438" s="17"/>
      <c r="H438" s="17"/>
      <c r="I438" s="73">
        <v>-1020</v>
      </c>
      <c r="J438" s="18">
        <f t="shared" si="28"/>
        <v>-11606.0139</v>
      </c>
    </row>
    <row r="439" spans="1:12" x14ac:dyDescent="0.35">
      <c r="A439" s="169">
        <f t="shared" si="26"/>
        <v>428</v>
      </c>
      <c r="B439" s="13" t="s">
        <v>421</v>
      </c>
      <c r="C439" s="11">
        <v>1.1848649999999998</v>
      </c>
      <c r="D439" s="10" t="s">
        <v>300</v>
      </c>
      <c r="E439" s="17"/>
      <c r="F439" s="17"/>
      <c r="G439" s="17"/>
      <c r="H439" s="17"/>
      <c r="I439" s="73">
        <v>-3060</v>
      </c>
      <c r="J439" s="18">
        <f t="shared" si="28"/>
        <v>-3625.6868999999997</v>
      </c>
    </row>
    <row r="440" spans="1:12" x14ac:dyDescent="0.35">
      <c r="A440" s="169">
        <f t="shared" si="26"/>
        <v>429</v>
      </c>
      <c r="B440" s="9"/>
      <c r="C440" s="11"/>
      <c r="D440" s="10"/>
      <c r="E440" s="17"/>
      <c r="F440" s="17"/>
      <c r="G440" s="17"/>
      <c r="H440" s="17"/>
      <c r="I440" s="73"/>
      <c r="J440" s="18">
        <f t="shared" si="28"/>
        <v>0</v>
      </c>
    </row>
    <row r="441" spans="1:12" ht="27" x14ac:dyDescent="0.35">
      <c r="A441" s="169">
        <f t="shared" si="26"/>
        <v>430</v>
      </c>
      <c r="B441" s="152" t="s">
        <v>358</v>
      </c>
      <c r="C441" s="11"/>
      <c r="D441" s="10"/>
      <c r="E441" s="17"/>
      <c r="F441" s="15"/>
      <c r="G441" s="17"/>
      <c r="H441" s="15"/>
      <c r="I441" s="73"/>
      <c r="J441" s="15"/>
      <c r="L441" s="129"/>
    </row>
    <row r="442" spans="1:12" x14ac:dyDescent="0.35">
      <c r="A442" s="169">
        <f t="shared" si="26"/>
        <v>431</v>
      </c>
      <c r="B442" s="13"/>
      <c r="C442" s="11"/>
      <c r="D442" s="10"/>
      <c r="E442" s="17"/>
      <c r="F442" s="15"/>
      <c r="G442" s="17"/>
      <c r="H442" s="15"/>
      <c r="I442" s="73"/>
      <c r="J442" s="15"/>
      <c r="L442" s="129"/>
    </row>
    <row r="443" spans="1:12" x14ac:dyDescent="0.35">
      <c r="A443" s="169">
        <f t="shared" ref="A443:A468" si="29">ROW()-11</f>
        <v>432</v>
      </c>
      <c r="B443" s="13" t="s">
        <v>103</v>
      </c>
      <c r="C443" s="11">
        <v>51.25</v>
      </c>
      <c r="D443" s="10" t="s">
        <v>89</v>
      </c>
      <c r="E443" s="17">
        <f>$E$8</f>
        <v>49847</v>
      </c>
      <c r="F443" s="19">
        <f>E443*$C443</f>
        <v>2554658.75</v>
      </c>
      <c r="G443" s="17">
        <f>G8</f>
        <v>48567</v>
      </c>
      <c r="H443" s="19">
        <f>G443*$C443</f>
        <v>2489058.75</v>
      </c>
      <c r="I443" s="73">
        <f>$I$8</f>
        <v>48567</v>
      </c>
      <c r="J443" s="15">
        <f>I443*$C443</f>
        <v>2489058.75</v>
      </c>
    </row>
    <row r="444" spans="1:12" x14ac:dyDescent="0.35">
      <c r="A444" s="169">
        <f t="shared" si="29"/>
        <v>433</v>
      </c>
      <c r="B444" s="9"/>
      <c r="C444" s="11"/>
      <c r="D444" s="10"/>
      <c r="E444" s="17"/>
      <c r="F444" s="20" t="s">
        <v>6</v>
      </c>
      <c r="G444" s="17"/>
      <c r="H444" s="20" t="s">
        <v>6</v>
      </c>
      <c r="I444" s="73"/>
      <c r="J444" s="20" t="s">
        <v>6</v>
      </c>
    </row>
    <row r="445" spans="1:12" x14ac:dyDescent="0.35">
      <c r="A445" s="169">
        <f t="shared" si="29"/>
        <v>434</v>
      </c>
      <c r="B445" s="13" t="str">
        <f>"Subtotal " &amp; B261</f>
        <v>Subtotal 26-00-00 Electrical</v>
      </c>
      <c r="C445" s="11"/>
      <c r="D445" s="10"/>
      <c r="E445" s="17"/>
      <c r="F445" s="15">
        <f>SUM(F261:F444)</f>
        <v>2539348.4015261251</v>
      </c>
      <c r="G445" s="17"/>
      <c r="H445" s="15">
        <f>SUM(H261:H444)</f>
        <v>2476522.495316125</v>
      </c>
      <c r="I445" s="73"/>
      <c r="J445" s="15">
        <f>SUM(J261:J444)</f>
        <v>2447072.9287984376</v>
      </c>
    </row>
    <row r="446" spans="1:12" x14ac:dyDescent="0.35">
      <c r="A446" s="169">
        <f t="shared" si="29"/>
        <v>435</v>
      </c>
      <c r="B446" s="13"/>
      <c r="C446" s="11"/>
      <c r="D446" s="10"/>
      <c r="E446" s="17"/>
      <c r="F446" s="15"/>
      <c r="G446" s="17"/>
      <c r="H446" s="15"/>
      <c r="I446" s="73"/>
      <c r="J446" s="15"/>
    </row>
    <row r="447" spans="1:12" x14ac:dyDescent="0.35">
      <c r="A447" s="168">
        <f t="shared" si="29"/>
        <v>436</v>
      </c>
      <c r="B447" s="62" t="s">
        <v>55</v>
      </c>
      <c r="C447" s="65"/>
      <c r="D447" s="63"/>
      <c r="E447" s="64"/>
      <c r="F447" s="64"/>
      <c r="G447" s="64"/>
      <c r="H447" s="64"/>
      <c r="I447" s="74"/>
      <c r="J447" s="42"/>
    </row>
    <row r="448" spans="1:12" x14ac:dyDescent="0.35">
      <c r="A448" s="169">
        <f t="shared" si="29"/>
        <v>437</v>
      </c>
      <c r="B448" s="9"/>
      <c r="C448" s="11"/>
      <c r="D448" s="10"/>
      <c r="E448" s="17"/>
      <c r="F448" s="17"/>
      <c r="G448" s="17"/>
      <c r="H448" s="17"/>
      <c r="I448" s="73"/>
      <c r="J448" s="18"/>
    </row>
    <row r="449" spans="1:12" ht="27" x14ac:dyDescent="0.35">
      <c r="A449" s="169">
        <f t="shared" si="29"/>
        <v>438</v>
      </c>
      <c r="B449" s="270" t="s">
        <v>359</v>
      </c>
      <c r="C449" s="11"/>
      <c r="D449" s="10"/>
      <c r="E449" s="17"/>
      <c r="F449" s="15"/>
      <c r="G449" s="17"/>
      <c r="H449" s="15"/>
      <c r="I449" s="73"/>
      <c r="J449" s="15"/>
      <c r="L449" s="129"/>
    </row>
    <row r="450" spans="1:12" x14ac:dyDescent="0.35">
      <c r="A450" s="169">
        <f t="shared" si="29"/>
        <v>439</v>
      </c>
      <c r="B450" s="9"/>
      <c r="C450" s="11"/>
      <c r="D450" s="10"/>
      <c r="E450" s="17"/>
      <c r="F450" s="17"/>
      <c r="G450" s="17"/>
      <c r="H450" s="17"/>
      <c r="I450" s="73"/>
      <c r="J450" s="18"/>
      <c r="L450" s="129"/>
    </row>
    <row r="451" spans="1:12" x14ac:dyDescent="0.35">
      <c r="A451" s="169">
        <f t="shared" si="29"/>
        <v>440</v>
      </c>
      <c r="B451" s="13" t="s">
        <v>101</v>
      </c>
      <c r="C451" s="11">
        <v>3.39</v>
      </c>
      <c r="D451" s="10" t="s">
        <v>89</v>
      </c>
      <c r="E451" s="17">
        <f>$E$8</f>
        <v>49847</v>
      </c>
      <c r="F451" s="19">
        <f>E451*$C451</f>
        <v>168981.33000000002</v>
      </c>
      <c r="G451" s="17">
        <f>G8</f>
        <v>48567</v>
      </c>
      <c r="H451" s="19">
        <f>G451*$C451</f>
        <v>164642.13</v>
      </c>
      <c r="I451" s="73">
        <f>$I$8</f>
        <v>48567</v>
      </c>
      <c r="J451" s="15">
        <f>I451*$C451</f>
        <v>164642.13</v>
      </c>
    </row>
    <row r="452" spans="1:12" x14ac:dyDescent="0.35">
      <c r="A452" s="169">
        <f t="shared" si="29"/>
        <v>441</v>
      </c>
      <c r="B452" s="9"/>
      <c r="C452" s="11"/>
      <c r="D452" s="10"/>
      <c r="E452" s="17"/>
      <c r="F452" s="20" t="s">
        <v>6</v>
      </c>
      <c r="G452" s="17"/>
      <c r="H452" s="20" t="s">
        <v>6</v>
      </c>
      <c r="I452" s="73"/>
      <c r="J452" s="20" t="s">
        <v>6</v>
      </c>
    </row>
    <row r="453" spans="1:12" x14ac:dyDescent="0.35">
      <c r="A453" s="169">
        <f t="shared" si="29"/>
        <v>442</v>
      </c>
      <c r="B453" s="13" t="str">
        <f>"Subtotal " &amp; B447</f>
        <v>Subtotal 27-00-00 Communications</v>
      </c>
      <c r="C453" s="11"/>
      <c r="D453" s="10"/>
      <c r="E453" s="17"/>
      <c r="F453" s="15">
        <f>SUM(F447:F452)</f>
        <v>168981.33000000002</v>
      </c>
      <c r="G453" s="17"/>
      <c r="H453" s="15">
        <f>SUM(H447:H452)</f>
        <v>164642.13</v>
      </c>
      <c r="I453" s="73"/>
      <c r="J453" s="15">
        <f>SUM(J447:J452)</f>
        <v>164642.13</v>
      </c>
    </row>
    <row r="454" spans="1:12" x14ac:dyDescent="0.35">
      <c r="A454" s="169">
        <f t="shared" si="29"/>
        <v>443</v>
      </c>
      <c r="B454" s="13"/>
      <c r="C454" s="11"/>
      <c r="D454" s="10"/>
      <c r="E454" s="17"/>
      <c r="F454" s="15"/>
      <c r="G454" s="17"/>
      <c r="H454" s="15"/>
      <c r="I454" s="73"/>
      <c r="J454" s="15"/>
    </row>
    <row r="455" spans="1:12" x14ac:dyDescent="0.35">
      <c r="A455" s="168">
        <f t="shared" si="29"/>
        <v>444</v>
      </c>
      <c r="B455" s="62" t="s">
        <v>56</v>
      </c>
      <c r="C455" s="65"/>
      <c r="D455" s="63"/>
      <c r="E455" s="64"/>
      <c r="F455" s="64"/>
      <c r="G455" s="64"/>
      <c r="H455" s="64"/>
      <c r="I455" s="74"/>
      <c r="J455" s="42"/>
    </row>
    <row r="456" spans="1:12" x14ac:dyDescent="0.35">
      <c r="A456" s="169">
        <f t="shared" si="29"/>
        <v>445</v>
      </c>
      <c r="B456" s="9"/>
      <c r="C456" s="11"/>
      <c r="D456" s="10"/>
      <c r="E456" s="17"/>
      <c r="F456" s="17"/>
      <c r="G456" s="17"/>
      <c r="H456" s="17"/>
      <c r="I456" s="73"/>
      <c r="J456" s="18"/>
    </row>
    <row r="457" spans="1:12" ht="40.5" x14ac:dyDescent="0.35">
      <c r="A457" s="169">
        <f t="shared" si="29"/>
        <v>446</v>
      </c>
      <c r="B457" s="270" t="s">
        <v>360</v>
      </c>
      <c r="C457" s="11"/>
      <c r="D457" s="10"/>
      <c r="E457" s="17"/>
      <c r="F457" s="15"/>
      <c r="G457" s="17"/>
      <c r="H457" s="15"/>
      <c r="I457" s="73"/>
      <c r="J457" s="15"/>
      <c r="L457" s="129"/>
    </row>
    <row r="458" spans="1:12" x14ac:dyDescent="0.35">
      <c r="A458" s="169">
        <f t="shared" si="29"/>
        <v>447</v>
      </c>
      <c r="B458" s="13"/>
      <c r="C458" s="11"/>
      <c r="D458" s="10"/>
      <c r="E458" s="17"/>
      <c r="F458" s="15"/>
      <c r="G458" s="17"/>
      <c r="H458" s="15"/>
      <c r="I458" s="73"/>
      <c r="J458" s="15"/>
      <c r="L458" s="129"/>
    </row>
    <row r="459" spans="1:12" x14ac:dyDescent="0.35">
      <c r="A459" s="169">
        <f t="shared" si="29"/>
        <v>448</v>
      </c>
      <c r="B459" s="13" t="s">
        <v>102</v>
      </c>
      <c r="C459" s="11">
        <v>8.69</v>
      </c>
      <c r="D459" s="10" t="s">
        <v>89</v>
      </c>
      <c r="E459" s="17">
        <f>$E$8</f>
        <v>49847</v>
      </c>
      <c r="F459" s="19">
        <f>E459*$C459</f>
        <v>433170.43</v>
      </c>
      <c r="G459" s="17">
        <f>G8</f>
        <v>48567</v>
      </c>
      <c r="H459" s="19">
        <f>G459*$C459</f>
        <v>422047.23</v>
      </c>
      <c r="I459" s="73">
        <f>$I$8</f>
        <v>48567</v>
      </c>
      <c r="J459" s="15">
        <f>I459*$C459</f>
        <v>422047.23</v>
      </c>
    </row>
    <row r="460" spans="1:12" x14ac:dyDescent="0.35">
      <c r="A460" s="169">
        <f t="shared" si="29"/>
        <v>449</v>
      </c>
      <c r="B460" s="9"/>
      <c r="C460" s="11"/>
      <c r="D460" s="10"/>
      <c r="E460" s="17"/>
      <c r="F460" s="20" t="s">
        <v>6</v>
      </c>
      <c r="G460" s="17"/>
      <c r="H460" s="20" t="s">
        <v>6</v>
      </c>
      <c r="I460" s="73"/>
      <c r="J460" s="20" t="s">
        <v>6</v>
      </c>
    </row>
    <row r="461" spans="1:12" x14ac:dyDescent="0.35">
      <c r="A461" s="169">
        <f t="shared" si="29"/>
        <v>450</v>
      </c>
      <c r="B461" s="13" t="str">
        <f>"Subtotal " &amp; B455</f>
        <v>Subtotal 28-00-00 Electronic Safety &amp; Security</v>
      </c>
      <c r="C461" s="11"/>
      <c r="D461" s="10"/>
      <c r="E461" s="17"/>
      <c r="F461" s="15">
        <f>SUM(F455:F460)</f>
        <v>433170.43</v>
      </c>
      <c r="G461" s="17"/>
      <c r="H461" s="15">
        <f>SUM(H455:H460)</f>
        <v>422047.23</v>
      </c>
      <c r="I461" s="73"/>
      <c r="J461" s="15">
        <f>SUM(J455:J460)</f>
        <v>422047.23</v>
      </c>
    </row>
    <row r="462" spans="1:12" x14ac:dyDescent="0.35">
      <c r="A462" s="169">
        <f t="shared" si="29"/>
        <v>451</v>
      </c>
      <c r="B462" s="13"/>
      <c r="C462" s="11"/>
      <c r="D462" s="10"/>
      <c r="E462" s="17"/>
      <c r="F462" s="15"/>
      <c r="G462" s="17"/>
      <c r="H462" s="15"/>
      <c r="I462" s="73"/>
      <c r="J462" s="15"/>
    </row>
    <row r="463" spans="1:12" x14ac:dyDescent="0.35">
      <c r="A463" s="169">
        <f t="shared" si="29"/>
        <v>452</v>
      </c>
      <c r="B463" s="9"/>
      <c r="C463" s="11"/>
      <c r="D463" s="10"/>
      <c r="E463" s="17"/>
      <c r="F463" s="17"/>
      <c r="G463" s="17"/>
      <c r="H463" s="17"/>
      <c r="I463" s="73"/>
      <c r="J463" s="12"/>
    </row>
    <row r="464" spans="1:12" x14ac:dyDescent="0.35">
      <c r="A464" s="168">
        <f t="shared" si="29"/>
        <v>453</v>
      </c>
      <c r="B464" s="62" t="s">
        <v>57</v>
      </c>
      <c r="C464" s="65"/>
      <c r="D464" s="63"/>
      <c r="E464" s="64"/>
      <c r="F464" s="64"/>
      <c r="G464" s="64"/>
      <c r="H464" s="64"/>
      <c r="I464" s="74"/>
      <c r="J464" s="42"/>
    </row>
    <row r="465" spans="1:12" ht="27" x14ac:dyDescent="0.35">
      <c r="A465" s="169">
        <f t="shared" si="29"/>
        <v>454</v>
      </c>
      <c r="B465" s="147" t="s">
        <v>315</v>
      </c>
      <c r="C465" s="11"/>
      <c r="D465" s="10"/>
      <c r="E465" s="17"/>
      <c r="F465" s="15"/>
      <c r="G465" s="17"/>
      <c r="H465" s="15"/>
      <c r="I465" s="73"/>
      <c r="J465" s="15"/>
      <c r="L465" s="129" t="s">
        <v>305</v>
      </c>
    </row>
    <row r="466" spans="1:12" x14ac:dyDescent="0.35">
      <c r="A466" s="169">
        <f t="shared" si="29"/>
        <v>455</v>
      </c>
      <c r="B466" s="13"/>
      <c r="C466" s="11"/>
      <c r="D466" s="10"/>
      <c r="E466" s="17"/>
      <c r="F466" s="15"/>
      <c r="G466" s="17"/>
      <c r="H466" s="15"/>
      <c r="I466" s="73"/>
      <c r="J466" s="15"/>
      <c r="L466" s="129"/>
    </row>
    <row r="467" spans="1:12" x14ac:dyDescent="0.35">
      <c r="A467" s="169">
        <f t="shared" si="29"/>
        <v>456</v>
      </c>
      <c r="B467" s="121" t="s">
        <v>288</v>
      </c>
      <c r="C467" s="11"/>
      <c r="D467" s="10"/>
      <c r="E467" s="17"/>
      <c r="F467" s="15"/>
      <c r="G467" s="17"/>
      <c r="H467" s="134"/>
      <c r="I467" s="73"/>
      <c r="J467" s="15"/>
      <c r="L467" s="129"/>
    </row>
    <row r="468" spans="1:12" ht="27" x14ac:dyDescent="0.35">
      <c r="A468" s="169">
        <f t="shared" si="29"/>
        <v>457</v>
      </c>
      <c r="B468" s="139" t="s">
        <v>361</v>
      </c>
      <c r="C468" s="130">
        <f>20*1.075</f>
        <v>21.5</v>
      </c>
      <c r="D468" s="131" t="s">
        <v>302</v>
      </c>
      <c r="E468" s="134">
        <v>0</v>
      </c>
      <c r="F468" s="135">
        <f>E468*$C468</f>
        <v>0</v>
      </c>
      <c r="G468" s="134">
        <f>-(1860*16)/27</f>
        <v>-1102.2222222222222</v>
      </c>
      <c r="H468" s="135">
        <f>G468*$C468</f>
        <v>-23697.777777777777</v>
      </c>
      <c r="I468" s="134">
        <f>-(1860*16)/27</f>
        <v>-1102.2222222222222</v>
      </c>
      <c r="J468" s="126">
        <f>I468*$C468</f>
        <v>-23697.777777777777</v>
      </c>
      <c r="L468" s="129" t="s">
        <v>305</v>
      </c>
    </row>
    <row r="469" spans="1:12" x14ac:dyDescent="0.35">
      <c r="A469" s="169"/>
      <c r="B469" s="140"/>
      <c r="C469" s="128"/>
      <c r="D469" s="10"/>
      <c r="E469" s="136"/>
      <c r="F469" s="137"/>
      <c r="G469" s="136"/>
      <c r="H469" s="137"/>
      <c r="I469" s="138"/>
      <c r="J469" s="15"/>
      <c r="L469" s="129"/>
    </row>
    <row r="470" spans="1:12" x14ac:dyDescent="0.35">
      <c r="A470" s="169">
        <f>ROW()-11</f>
        <v>459</v>
      </c>
      <c r="B470" s="139" t="s">
        <v>362</v>
      </c>
      <c r="C470" s="130">
        <f>20*1.075</f>
        <v>21.5</v>
      </c>
      <c r="D470" s="131" t="s">
        <v>302</v>
      </c>
      <c r="E470" s="134">
        <v>0</v>
      </c>
      <c r="F470" s="135">
        <f>E470*$C470</f>
        <v>0</v>
      </c>
      <c r="G470" s="134">
        <f>-(1860*16)/27</f>
        <v>-1102.2222222222222</v>
      </c>
      <c r="H470" s="135">
        <f>G470*$C470</f>
        <v>-23697.777777777777</v>
      </c>
      <c r="I470" s="134">
        <f>-(1860*16)/27</f>
        <v>-1102.2222222222222</v>
      </c>
      <c r="J470" s="126">
        <f>I470*$C470</f>
        <v>-23697.777777777777</v>
      </c>
      <c r="L470" s="129" t="s">
        <v>305</v>
      </c>
    </row>
    <row r="471" spans="1:12" x14ac:dyDescent="0.35">
      <c r="A471" s="169"/>
      <c r="B471" s="140"/>
      <c r="C471" s="128"/>
      <c r="D471" s="10"/>
      <c r="E471" s="136"/>
      <c r="F471" s="137"/>
      <c r="G471" s="136"/>
      <c r="H471" s="137"/>
      <c r="I471" s="138"/>
      <c r="J471" s="15"/>
      <c r="L471" s="129"/>
    </row>
    <row r="472" spans="1:12" x14ac:dyDescent="0.35">
      <c r="A472" s="169">
        <f t="shared" ref="A472:A503" si="30">ROW()-11</f>
        <v>461</v>
      </c>
      <c r="B472" s="139" t="s">
        <v>363</v>
      </c>
      <c r="C472" s="130">
        <v>1</v>
      </c>
      <c r="D472" s="131" t="s">
        <v>31</v>
      </c>
      <c r="E472" s="134">
        <v>0</v>
      </c>
      <c r="F472" s="135">
        <f>E472*$C472</f>
        <v>0</v>
      </c>
      <c r="G472" s="134">
        <v>-2000</v>
      </c>
      <c r="H472" s="135">
        <f>G472*$C472</f>
        <v>-2000</v>
      </c>
      <c r="I472" s="134">
        <v>-2000</v>
      </c>
      <c r="J472" s="126">
        <f>I472*$C472</f>
        <v>-2000</v>
      </c>
      <c r="L472" s="129" t="s">
        <v>305</v>
      </c>
    </row>
    <row r="473" spans="1:12" x14ac:dyDescent="0.35">
      <c r="A473" s="169">
        <f t="shared" si="30"/>
        <v>462</v>
      </c>
      <c r="B473" s="9"/>
      <c r="C473" s="11"/>
      <c r="D473" s="10"/>
      <c r="E473" s="17"/>
      <c r="F473" s="17"/>
      <c r="G473" s="17"/>
      <c r="H473" s="17"/>
      <c r="I473" s="73"/>
      <c r="J473" s="18"/>
    </row>
    <row r="474" spans="1:12" x14ac:dyDescent="0.35">
      <c r="A474" s="169">
        <f t="shared" si="30"/>
        <v>463</v>
      </c>
      <c r="B474" s="9"/>
      <c r="C474" s="11"/>
      <c r="D474" s="10"/>
      <c r="E474" s="17"/>
      <c r="F474" s="20" t="s">
        <v>6</v>
      </c>
      <c r="G474" s="17"/>
      <c r="H474" s="20" t="s">
        <v>6</v>
      </c>
      <c r="I474" s="73"/>
      <c r="J474" s="20" t="s">
        <v>6</v>
      </c>
    </row>
    <row r="475" spans="1:12" x14ac:dyDescent="0.35">
      <c r="A475" s="169">
        <f t="shared" si="30"/>
        <v>464</v>
      </c>
      <c r="B475" s="13" t="str">
        <f>"Subtotal " &amp; B464</f>
        <v>Subtotal 31-00-00 Earthwork</v>
      </c>
      <c r="C475" s="11"/>
      <c r="D475" s="10"/>
      <c r="E475" s="17"/>
      <c r="F475" s="15">
        <f>SUM(F464:F474)</f>
        <v>0</v>
      </c>
      <c r="G475" s="17"/>
      <c r="H475" s="15">
        <f>SUM(H464:H474)</f>
        <v>-49395.555555555555</v>
      </c>
      <c r="I475" s="73"/>
      <c r="J475" s="15">
        <f>SUM(J464:J474)</f>
        <v>-49395.555555555555</v>
      </c>
    </row>
    <row r="476" spans="1:12" x14ac:dyDescent="0.35">
      <c r="A476" s="169">
        <f t="shared" si="30"/>
        <v>465</v>
      </c>
      <c r="B476" s="13"/>
      <c r="C476" s="11"/>
      <c r="D476" s="10"/>
      <c r="E476" s="17"/>
      <c r="F476" s="15"/>
      <c r="G476" s="17"/>
      <c r="H476" s="15"/>
      <c r="I476" s="73"/>
      <c r="J476" s="15"/>
    </row>
    <row r="477" spans="1:12" x14ac:dyDescent="0.35">
      <c r="A477" s="168">
        <f t="shared" si="30"/>
        <v>466</v>
      </c>
      <c r="B477" s="62" t="s">
        <v>58</v>
      </c>
      <c r="C477" s="65"/>
      <c r="D477" s="63"/>
      <c r="E477" s="64"/>
      <c r="F477" s="64"/>
      <c r="G477" s="64"/>
      <c r="H477" s="64"/>
      <c r="I477" s="74"/>
      <c r="J477" s="42"/>
    </row>
    <row r="478" spans="1:12" x14ac:dyDescent="0.35">
      <c r="A478" s="169">
        <f t="shared" si="30"/>
        <v>467</v>
      </c>
      <c r="B478" s="9"/>
      <c r="C478" s="11"/>
      <c r="D478" s="10"/>
      <c r="E478" s="17"/>
      <c r="F478" s="17"/>
      <c r="G478" s="17"/>
      <c r="H478" s="17"/>
      <c r="I478" s="73"/>
      <c r="J478" s="18"/>
    </row>
    <row r="479" spans="1:12" x14ac:dyDescent="0.35">
      <c r="A479" s="169">
        <f t="shared" si="30"/>
        <v>468</v>
      </c>
      <c r="B479" s="9"/>
      <c r="C479" s="11"/>
      <c r="D479" s="10"/>
      <c r="E479" s="17"/>
      <c r="F479" s="20" t="s">
        <v>6</v>
      </c>
      <c r="G479" s="17"/>
      <c r="H479" s="20" t="s">
        <v>6</v>
      </c>
      <c r="I479" s="73"/>
      <c r="J479" s="20" t="s">
        <v>6</v>
      </c>
    </row>
    <row r="480" spans="1:12" x14ac:dyDescent="0.35">
      <c r="A480" s="169">
        <f t="shared" si="30"/>
        <v>469</v>
      </c>
      <c r="B480" s="13" t="str">
        <f>"Subtotal " &amp; B477</f>
        <v>Subtotal 32-00-00 Exterior Improvements</v>
      </c>
      <c r="C480" s="11"/>
      <c r="D480" s="10"/>
      <c r="E480" s="17"/>
      <c r="F480" s="15">
        <f>SUM(F477:F479)</f>
        <v>0</v>
      </c>
      <c r="G480" s="17"/>
      <c r="H480" s="15">
        <f>SUM(H477:H479)</f>
        <v>0</v>
      </c>
      <c r="I480" s="73"/>
      <c r="J480" s="15">
        <f>SUM(J477:J479)</f>
        <v>0</v>
      </c>
    </row>
    <row r="481" spans="1:12" x14ac:dyDescent="0.35">
      <c r="A481" s="169">
        <f t="shared" si="30"/>
        <v>470</v>
      </c>
      <c r="B481" s="13"/>
      <c r="C481" s="11"/>
      <c r="D481" s="10"/>
      <c r="E481" s="17"/>
      <c r="F481" s="15"/>
      <c r="G481" s="17"/>
      <c r="H481" s="15"/>
      <c r="I481" s="73"/>
      <c r="J481" s="15"/>
    </row>
    <row r="482" spans="1:12" x14ac:dyDescent="0.35">
      <c r="A482" s="168">
        <f t="shared" si="30"/>
        <v>471</v>
      </c>
      <c r="B482" s="62" t="s">
        <v>59</v>
      </c>
      <c r="C482" s="65"/>
      <c r="D482" s="63"/>
      <c r="E482" s="64"/>
      <c r="F482" s="64"/>
      <c r="G482" s="64"/>
      <c r="H482" s="64"/>
      <c r="I482" s="74"/>
      <c r="J482" s="42"/>
    </row>
    <row r="483" spans="1:12" x14ac:dyDescent="0.35">
      <c r="A483" s="169">
        <f t="shared" si="30"/>
        <v>472</v>
      </c>
      <c r="B483" s="9"/>
      <c r="C483" s="11"/>
      <c r="D483" s="10"/>
      <c r="E483" s="17"/>
      <c r="F483" s="17"/>
      <c r="G483" s="17"/>
      <c r="H483" s="17"/>
      <c r="I483" s="73"/>
      <c r="J483" s="18"/>
    </row>
    <row r="484" spans="1:12" x14ac:dyDescent="0.35">
      <c r="A484" s="169">
        <f t="shared" si="30"/>
        <v>473</v>
      </c>
      <c r="B484" s="121" t="s">
        <v>288</v>
      </c>
      <c r="C484" s="11"/>
      <c r="D484" s="10"/>
      <c r="E484" s="17"/>
      <c r="F484" s="15"/>
      <c r="G484" s="17"/>
      <c r="H484" s="134"/>
      <c r="I484" s="73"/>
      <c r="J484" s="15"/>
      <c r="L484" s="129"/>
    </row>
    <row r="485" spans="1:12" x14ac:dyDescent="0.35">
      <c r="A485" s="169">
        <f t="shared" si="30"/>
        <v>474</v>
      </c>
      <c r="B485" s="13"/>
      <c r="C485" s="11"/>
      <c r="D485" s="10"/>
      <c r="E485" s="17"/>
      <c r="F485" s="15"/>
      <c r="G485" s="17"/>
      <c r="H485" s="15"/>
      <c r="I485" s="73"/>
      <c r="J485" s="15"/>
      <c r="L485" s="129"/>
    </row>
    <row r="486" spans="1:12" ht="27" x14ac:dyDescent="0.35">
      <c r="A486" s="169">
        <f t="shared" si="30"/>
        <v>475</v>
      </c>
      <c r="B486" s="147" t="s">
        <v>364</v>
      </c>
      <c r="C486" s="11"/>
      <c r="D486" s="10"/>
      <c r="E486" s="17"/>
      <c r="F486" s="15"/>
      <c r="G486" s="17"/>
      <c r="H486" s="15"/>
      <c r="I486" s="73"/>
      <c r="J486" s="15"/>
      <c r="L486" s="129"/>
    </row>
    <row r="487" spans="1:12" x14ac:dyDescent="0.35">
      <c r="A487" s="169">
        <f t="shared" si="30"/>
        <v>476</v>
      </c>
      <c r="B487" s="13"/>
      <c r="C487" s="11"/>
      <c r="D487" s="10"/>
      <c r="E487" s="17"/>
      <c r="F487" s="15"/>
      <c r="G487" s="17"/>
      <c r="H487" s="15"/>
      <c r="I487" s="73"/>
      <c r="J487" s="15"/>
      <c r="L487" s="129"/>
    </row>
    <row r="488" spans="1:12" x14ac:dyDescent="0.35">
      <c r="A488" s="169">
        <f t="shared" si="30"/>
        <v>477</v>
      </c>
      <c r="B488" s="192" t="s">
        <v>365</v>
      </c>
      <c r="C488" s="11"/>
      <c r="D488" s="10"/>
      <c r="E488" s="17"/>
      <c r="F488" s="19"/>
      <c r="G488" s="17"/>
      <c r="H488" s="19"/>
      <c r="I488" s="73"/>
      <c r="J488" s="15"/>
      <c r="L488" s="129" t="s">
        <v>305</v>
      </c>
    </row>
    <row r="489" spans="1:12" ht="27" x14ac:dyDescent="0.35">
      <c r="A489" s="169">
        <f t="shared" si="30"/>
        <v>478</v>
      </c>
      <c r="B489" s="122" t="s">
        <v>366</v>
      </c>
      <c r="C489" s="149">
        <f>10*1.075</f>
        <v>10.75</v>
      </c>
      <c r="D489" s="176" t="s">
        <v>89</v>
      </c>
      <c r="E489" s="153">
        <v>-1100</v>
      </c>
      <c r="F489" s="133">
        <f t="shared" ref="F489:F498" si="31">E489*$C489</f>
        <v>-11825</v>
      </c>
      <c r="G489" s="153">
        <v>-1100</v>
      </c>
      <c r="H489" s="133">
        <f t="shared" ref="H489:H498" si="32">G489*$C489</f>
        <v>-11825</v>
      </c>
      <c r="I489" s="153">
        <v>-1100</v>
      </c>
      <c r="J489" s="126">
        <f t="shared" ref="J489:J498" si="33">I489*$C489</f>
        <v>-11825</v>
      </c>
      <c r="L489" s="129" t="s">
        <v>305</v>
      </c>
    </row>
    <row r="490" spans="1:12" ht="27" x14ac:dyDescent="0.35">
      <c r="A490" s="169">
        <f t="shared" si="30"/>
        <v>479</v>
      </c>
      <c r="B490" s="122" t="s">
        <v>367</v>
      </c>
      <c r="C490" s="149">
        <f>936*1.075</f>
        <v>1006.1999999999999</v>
      </c>
      <c r="D490" s="176" t="s">
        <v>292</v>
      </c>
      <c r="E490" s="153">
        <v>-47</v>
      </c>
      <c r="F490" s="133">
        <f t="shared" si="31"/>
        <v>-47291.399999999994</v>
      </c>
      <c r="G490" s="153">
        <v>-47</v>
      </c>
      <c r="H490" s="133">
        <f t="shared" si="32"/>
        <v>-47291.399999999994</v>
      </c>
      <c r="I490" s="153">
        <v>-47</v>
      </c>
      <c r="J490" s="126">
        <f t="shared" si="33"/>
        <v>-47291.399999999994</v>
      </c>
      <c r="L490" s="129" t="s">
        <v>305</v>
      </c>
    </row>
    <row r="491" spans="1:12" ht="27" x14ac:dyDescent="0.35">
      <c r="A491" s="169">
        <f t="shared" si="30"/>
        <v>480</v>
      </c>
      <c r="B491" s="122" t="s">
        <v>368</v>
      </c>
      <c r="C491" s="149">
        <f>1030*1.075</f>
        <v>1107.25</v>
      </c>
      <c r="D491" s="176" t="s">
        <v>292</v>
      </c>
      <c r="E491" s="153">
        <v>-3</v>
      </c>
      <c r="F491" s="133">
        <f t="shared" si="31"/>
        <v>-3321.75</v>
      </c>
      <c r="G491" s="153">
        <v>-3</v>
      </c>
      <c r="H491" s="133">
        <f t="shared" si="32"/>
        <v>-3321.75</v>
      </c>
      <c r="I491" s="153">
        <v>-3</v>
      </c>
      <c r="J491" s="126">
        <f t="shared" si="33"/>
        <v>-3321.75</v>
      </c>
      <c r="L491" s="129" t="s">
        <v>305</v>
      </c>
    </row>
    <row r="492" spans="1:12" x14ac:dyDescent="0.35">
      <c r="A492" s="169">
        <f t="shared" si="30"/>
        <v>481</v>
      </c>
      <c r="B492" s="122" t="s">
        <v>369</v>
      </c>
      <c r="C492" s="149">
        <f>3.12*1.075</f>
        <v>3.3540000000000001</v>
      </c>
      <c r="D492" s="176" t="s">
        <v>370</v>
      </c>
      <c r="E492" s="153">
        <v>-2973</v>
      </c>
      <c r="F492" s="133">
        <f t="shared" si="31"/>
        <v>-9971.4420000000009</v>
      </c>
      <c r="G492" s="247">
        <v>-2973</v>
      </c>
      <c r="H492" s="133">
        <f t="shared" si="32"/>
        <v>-9971.4420000000009</v>
      </c>
      <c r="I492" s="247">
        <v>-2973</v>
      </c>
      <c r="J492" s="126">
        <f t="shared" si="33"/>
        <v>-9971.4420000000009</v>
      </c>
      <c r="L492" s="129" t="s">
        <v>305</v>
      </c>
    </row>
    <row r="493" spans="1:12" ht="27" x14ac:dyDescent="0.35">
      <c r="A493" s="169">
        <f t="shared" si="30"/>
        <v>482</v>
      </c>
      <c r="B493" s="122" t="s">
        <v>371</v>
      </c>
      <c r="C493" s="149">
        <f>40*1.075</f>
        <v>43</v>
      </c>
      <c r="D493" s="176" t="s">
        <v>89</v>
      </c>
      <c r="E493" s="153">
        <v>-2520</v>
      </c>
      <c r="F493" s="133">
        <f t="shared" si="31"/>
        <v>-108360</v>
      </c>
      <c r="G493" s="153">
        <v>-2520</v>
      </c>
      <c r="H493" s="133">
        <f t="shared" si="32"/>
        <v>-108360</v>
      </c>
      <c r="I493" s="153">
        <v>-2520</v>
      </c>
      <c r="J493" s="126">
        <f t="shared" si="33"/>
        <v>-108360</v>
      </c>
      <c r="L493" s="129" t="s">
        <v>305</v>
      </c>
    </row>
    <row r="494" spans="1:12" ht="27" x14ac:dyDescent="0.35">
      <c r="A494" s="169">
        <f t="shared" si="30"/>
        <v>483</v>
      </c>
      <c r="B494" s="122" t="s">
        <v>372</v>
      </c>
      <c r="C494" s="149">
        <f>15*1.075</f>
        <v>16.125</v>
      </c>
      <c r="D494" s="176" t="s">
        <v>89</v>
      </c>
      <c r="E494" s="153">
        <v>-290</v>
      </c>
      <c r="F494" s="133">
        <f t="shared" si="31"/>
        <v>-4676.25</v>
      </c>
      <c r="G494" s="153">
        <v>-290</v>
      </c>
      <c r="H494" s="133">
        <f t="shared" si="32"/>
        <v>-4676.25</v>
      </c>
      <c r="I494" s="153">
        <v>-290</v>
      </c>
      <c r="J494" s="126">
        <f t="shared" si="33"/>
        <v>-4676.25</v>
      </c>
      <c r="L494" s="129" t="s">
        <v>305</v>
      </c>
    </row>
    <row r="495" spans="1:12" x14ac:dyDescent="0.35">
      <c r="A495" s="169">
        <f t="shared" si="30"/>
        <v>484</v>
      </c>
      <c r="B495" s="122" t="s">
        <v>373</v>
      </c>
      <c r="C495" s="149">
        <f>11*1.075</f>
        <v>11.824999999999999</v>
      </c>
      <c r="D495" s="176" t="s">
        <v>89</v>
      </c>
      <c r="E495" s="153">
        <v>-40</v>
      </c>
      <c r="F495" s="133">
        <f t="shared" si="31"/>
        <v>-473</v>
      </c>
      <c r="G495" s="153">
        <v>-40</v>
      </c>
      <c r="H495" s="133">
        <f t="shared" si="32"/>
        <v>-473</v>
      </c>
      <c r="I495" s="153">
        <v>-40</v>
      </c>
      <c r="J495" s="126">
        <f t="shared" si="33"/>
        <v>-473</v>
      </c>
      <c r="L495" s="129" t="s">
        <v>305</v>
      </c>
    </row>
    <row r="496" spans="1:12" x14ac:dyDescent="0.35">
      <c r="A496" s="169">
        <f t="shared" si="30"/>
        <v>485</v>
      </c>
      <c r="B496" s="122" t="s">
        <v>374</v>
      </c>
      <c r="C496" s="149">
        <f>250*1.075</f>
        <v>268.75</v>
      </c>
      <c r="D496" s="176" t="s">
        <v>290</v>
      </c>
      <c r="E496" s="153">
        <v>-1</v>
      </c>
      <c r="F496" s="133">
        <f t="shared" si="31"/>
        <v>-268.75</v>
      </c>
      <c r="G496" s="153">
        <v>-1</v>
      </c>
      <c r="H496" s="133">
        <f t="shared" si="32"/>
        <v>-268.75</v>
      </c>
      <c r="I496" s="153">
        <v>-1</v>
      </c>
      <c r="J496" s="126">
        <f t="shared" si="33"/>
        <v>-268.75</v>
      </c>
      <c r="L496" s="129" t="s">
        <v>305</v>
      </c>
    </row>
    <row r="497" spans="1:12" x14ac:dyDescent="0.35">
      <c r="A497" s="169">
        <f t="shared" si="30"/>
        <v>486</v>
      </c>
      <c r="B497" s="122"/>
      <c r="C497" s="149"/>
      <c r="D497" s="176"/>
      <c r="E497" s="153"/>
      <c r="F497" s="133">
        <f t="shared" si="31"/>
        <v>0</v>
      </c>
      <c r="G497" s="153"/>
      <c r="H497" s="133">
        <f t="shared" si="32"/>
        <v>0</v>
      </c>
      <c r="I497" s="153"/>
      <c r="J497" s="126">
        <f t="shared" si="33"/>
        <v>0</v>
      </c>
      <c r="L497" s="129" t="s">
        <v>305</v>
      </c>
    </row>
    <row r="498" spans="1:12" ht="40.5" x14ac:dyDescent="0.35">
      <c r="A498" s="169">
        <f t="shared" si="30"/>
        <v>487</v>
      </c>
      <c r="B498" s="122" t="s">
        <v>457</v>
      </c>
      <c r="C498" s="149">
        <v>3988.25</v>
      </c>
      <c r="D498" s="176" t="s">
        <v>290</v>
      </c>
      <c r="E498" s="153">
        <v>-1</v>
      </c>
      <c r="F498" s="133">
        <f t="shared" si="31"/>
        <v>-3988.25</v>
      </c>
      <c r="G498" s="153">
        <v>-1</v>
      </c>
      <c r="H498" s="133">
        <f t="shared" si="32"/>
        <v>-3988.25</v>
      </c>
      <c r="I498" s="153">
        <v>-1</v>
      </c>
      <c r="J498" s="126">
        <f t="shared" si="33"/>
        <v>-3988.25</v>
      </c>
      <c r="L498" s="129" t="s">
        <v>305</v>
      </c>
    </row>
    <row r="499" spans="1:12" x14ac:dyDescent="0.35">
      <c r="A499" s="169">
        <f t="shared" si="30"/>
        <v>488</v>
      </c>
      <c r="B499" s="195" t="s">
        <v>375</v>
      </c>
      <c r="C499" s="149"/>
      <c r="D499" s="176"/>
      <c r="E499" s="248"/>
      <c r="F499" s="133">
        <f>E499*$C499</f>
        <v>0</v>
      </c>
      <c r="G499" s="248"/>
      <c r="H499" s="133">
        <f>G499*$C499</f>
        <v>0</v>
      </c>
      <c r="I499" s="248"/>
      <c r="J499" s="126">
        <f>I499*$C499</f>
        <v>0</v>
      </c>
      <c r="L499" s="129" t="s">
        <v>305</v>
      </c>
    </row>
    <row r="500" spans="1:12" x14ac:dyDescent="0.35">
      <c r="A500" s="169">
        <f t="shared" si="30"/>
        <v>489</v>
      </c>
      <c r="B500" s="122" t="s">
        <v>376</v>
      </c>
      <c r="C500" s="149">
        <f>50*1.075</f>
        <v>53.75</v>
      </c>
      <c r="D500" s="176" t="s">
        <v>89</v>
      </c>
      <c r="E500" s="248">
        <v>-2549</v>
      </c>
      <c r="F500" s="133">
        <f>E500*$C500</f>
        <v>-137008.75</v>
      </c>
      <c r="G500" s="248">
        <v>-2549</v>
      </c>
      <c r="H500" s="133">
        <f>G500*$C500</f>
        <v>-137008.75</v>
      </c>
      <c r="I500" s="248">
        <v>-2549</v>
      </c>
      <c r="J500" s="126">
        <f>I500*$C500</f>
        <v>-137008.75</v>
      </c>
      <c r="L500" s="129" t="s">
        <v>305</v>
      </c>
    </row>
    <row r="501" spans="1:12" x14ac:dyDescent="0.35">
      <c r="A501" s="169">
        <f t="shared" si="30"/>
        <v>490</v>
      </c>
      <c r="B501" s="122" t="s">
        <v>377</v>
      </c>
      <c r="C501" s="149">
        <f>50*1.075</f>
        <v>53.75</v>
      </c>
      <c r="D501" s="176" t="s">
        <v>300</v>
      </c>
      <c r="E501" s="248">
        <v>-146</v>
      </c>
      <c r="F501" s="133">
        <f>E501*$C501</f>
        <v>-7847.5</v>
      </c>
      <c r="G501" s="248">
        <v>-146</v>
      </c>
      <c r="H501" s="133">
        <f>G501*$C501</f>
        <v>-7847.5</v>
      </c>
      <c r="I501" s="248">
        <v>-146</v>
      </c>
      <c r="J501" s="126">
        <f>I501*$C501</f>
        <v>-7847.5</v>
      </c>
      <c r="L501" s="129" t="s">
        <v>305</v>
      </c>
    </row>
    <row r="502" spans="1:12" x14ac:dyDescent="0.35">
      <c r="A502" s="169">
        <f t="shared" si="30"/>
        <v>491</v>
      </c>
      <c r="B502" s="122" t="s">
        <v>378</v>
      </c>
      <c r="C502" s="149">
        <f>50*1.075</f>
        <v>53.75</v>
      </c>
      <c r="D502" s="176" t="s">
        <v>300</v>
      </c>
      <c r="E502" s="248">
        <v>-146</v>
      </c>
      <c r="F502" s="133">
        <f>E502*$C502</f>
        <v>-7847.5</v>
      </c>
      <c r="G502" s="248">
        <v>-146</v>
      </c>
      <c r="H502" s="133">
        <f>G502*$C502</f>
        <v>-7847.5</v>
      </c>
      <c r="I502" s="248">
        <v>-146</v>
      </c>
      <c r="J502" s="126">
        <f>I502*$C502</f>
        <v>-7847.5</v>
      </c>
      <c r="L502" s="129" t="s">
        <v>305</v>
      </c>
    </row>
    <row r="503" spans="1:12" x14ac:dyDescent="0.35">
      <c r="A503" s="169">
        <f t="shared" si="30"/>
        <v>492</v>
      </c>
      <c r="B503" s="122"/>
      <c r="C503" s="149"/>
      <c r="D503" s="176"/>
      <c r="E503" s="248"/>
      <c r="F503" s="133"/>
      <c r="G503" s="248"/>
      <c r="H503" s="133"/>
      <c r="I503" s="248"/>
      <c r="J503" s="126"/>
      <c r="L503" s="129"/>
    </row>
    <row r="504" spans="1:12" x14ac:dyDescent="0.35">
      <c r="A504" s="169">
        <f t="shared" ref="A504:A553" si="34">ROW()-11</f>
        <v>493</v>
      </c>
      <c r="B504" s="193" t="s">
        <v>459</v>
      </c>
      <c r="C504" s="149"/>
      <c r="D504" s="176"/>
      <c r="E504" s="248"/>
      <c r="F504" s="133"/>
      <c r="G504" s="248"/>
      <c r="H504" s="133"/>
      <c r="I504" s="248"/>
      <c r="J504" s="126"/>
      <c r="L504" s="129"/>
    </row>
    <row r="505" spans="1:12" x14ac:dyDescent="0.35">
      <c r="A505" s="169">
        <f t="shared" si="34"/>
        <v>494</v>
      </c>
      <c r="B505" s="122" t="s">
        <v>456</v>
      </c>
      <c r="C505" s="149">
        <v>25</v>
      </c>
      <c r="D505" s="176" t="s">
        <v>89</v>
      </c>
      <c r="E505" s="248">
        <v>1230</v>
      </c>
      <c r="F505" s="133">
        <f>E505*$C505</f>
        <v>30750</v>
      </c>
      <c r="G505" s="248">
        <v>1230</v>
      </c>
      <c r="H505" s="133">
        <f>G505*$C505</f>
        <v>30750</v>
      </c>
      <c r="I505" s="248">
        <v>1230</v>
      </c>
      <c r="J505" s="126">
        <f>I505*$C505</f>
        <v>30750</v>
      </c>
      <c r="L505" s="129" t="s">
        <v>305</v>
      </c>
    </row>
    <row r="506" spans="1:12" x14ac:dyDescent="0.35">
      <c r="A506" s="169">
        <f t="shared" si="34"/>
        <v>495</v>
      </c>
      <c r="B506" s="249"/>
      <c r="C506" s="149"/>
      <c r="D506" s="176"/>
      <c r="E506" s="248"/>
      <c r="F506" s="133">
        <f t="shared" ref="F506:F551" si="35">E506*$C506</f>
        <v>0</v>
      </c>
      <c r="G506" s="248"/>
      <c r="H506" s="133"/>
      <c r="I506" s="248"/>
      <c r="J506" s="126"/>
      <c r="L506" s="129"/>
    </row>
    <row r="507" spans="1:12" x14ac:dyDescent="0.35">
      <c r="A507" s="169">
        <f t="shared" si="34"/>
        <v>496</v>
      </c>
      <c r="B507" s="249" t="s">
        <v>458</v>
      </c>
      <c r="C507" s="149"/>
      <c r="D507" s="176"/>
      <c r="E507" s="248"/>
      <c r="F507" s="133">
        <f t="shared" si="35"/>
        <v>0</v>
      </c>
      <c r="G507" s="248"/>
      <c r="H507" s="133"/>
      <c r="I507" s="248"/>
      <c r="J507" s="126"/>
      <c r="L507" s="129"/>
    </row>
    <row r="508" spans="1:12" x14ac:dyDescent="0.35">
      <c r="A508" s="169">
        <f t="shared" si="34"/>
        <v>497</v>
      </c>
      <c r="B508" s="159" t="s">
        <v>461</v>
      </c>
      <c r="C508" s="165">
        <f>960000+40000+75000</f>
        <v>1075000</v>
      </c>
      <c r="D508" s="10" t="s">
        <v>290</v>
      </c>
      <c r="E508" s="17">
        <v>1</v>
      </c>
      <c r="F508" s="133">
        <f t="shared" si="35"/>
        <v>1075000</v>
      </c>
      <c r="G508" s="17"/>
      <c r="H508" s="19">
        <f>G508*$C508</f>
        <v>0</v>
      </c>
      <c r="I508" s="73">
        <v>0</v>
      </c>
      <c r="J508" s="15">
        <f>I508*$C508</f>
        <v>0</v>
      </c>
    </row>
    <row r="509" spans="1:12" x14ac:dyDescent="0.35">
      <c r="A509" s="169">
        <f t="shared" si="34"/>
        <v>498</v>
      </c>
      <c r="B509" s="159" t="s">
        <v>460</v>
      </c>
      <c r="C509" s="165">
        <f>800*12</f>
        <v>9600</v>
      </c>
      <c r="D509" s="10" t="s">
        <v>354</v>
      </c>
      <c r="E509" s="17">
        <f>48</f>
        <v>48</v>
      </c>
      <c r="F509" s="133">
        <f t="shared" si="35"/>
        <v>460800</v>
      </c>
      <c r="G509" s="17"/>
      <c r="H509" s="19">
        <f>G509*$C509</f>
        <v>0</v>
      </c>
      <c r="I509" s="73">
        <v>0</v>
      </c>
      <c r="J509" s="15">
        <f>I509*$C509</f>
        <v>0</v>
      </c>
    </row>
    <row r="510" spans="1:12" x14ac:dyDescent="0.35">
      <c r="A510" s="169">
        <f t="shared" si="34"/>
        <v>499</v>
      </c>
      <c r="B510" s="159"/>
      <c r="C510" s="165"/>
      <c r="D510" s="10"/>
      <c r="E510" s="17"/>
      <c r="F510" s="133">
        <f t="shared" si="35"/>
        <v>0</v>
      </c>
      <c r="G510" s="17"/>
      <c r="H510" s="19">
        <f t="shared" ref="H510:H551" si="36">G510*$C510</f>
        <v>0</v>
      </c>
      <c r="I510" s="73"/>
      <c r="J510" s="15">
        <f t="shared" ref="J510:J551" si="37">I510*$C510</f>
        <v>0</v>
      </c>
    </row>
    <row r="511" spans="1:12" x14ac:dyDescent="0.35">
      <c r="A511" s="169">
        <f t="shared" si="34"/>
        <v>500</v>
      </c>
      <c r="B511" s="154" t="s">
        <v>776</v>
      </c>
      <c r="C511" s="165"/>
      <c r="D511" s="10"/>
      <c r="E511" s="17"/>
      <c r="F511" s="133">
        <f t="shared" si="35"/>
        <v>0</v>
      </c>
      <c r="G511" s="17"/>
      <c r="H511" s="19">
        <f t="shared" si="36"/>
        <v>0</v>
      </c>
      <c r="I511" s="73"/>
      <c r="J511" s="15">
        <f t="shared" si="37"/>
        <v>0</v>
      </c>
    </row>
    <row r="512" spans="1:12" x14ac:dyDescent="0.35">
      <c r="A512" s="169">
        <f t="shared" si="34"/>
        <v>501</v>
      </c>
      <c r="B512" s="159" t="s">
        <v>759</v>
      </c>
      <c r="C512" s="165"/>
      <c r="D512" s="10"/>
      <c r="E512" s="17"/>
      <c r="F512" s="133">
        <f t="shared" si="35"/>
        <v>0</v>
      </c>
      <c r="G512" s="17"/>
      <c r="H512" s="19">
        <f t="shared" si="36"/>
        <v>0</v>
      </c>
      <c r="I512" s="73"/>
      <c r="J512" s="15">
        <f t="shared" si="37"/>
        <v>0</v>
      </c>
    </row>
    <row r="513" spans="1:10" x14ac:dyDescent="0.35">
      <c r="A513" s="169">
        <f t="shared" si="34"/>
        <v>502</v>
      </c>
      <c r="B513" s="159" t="s">
        <v>760</v>
      </c>
      <c r="C513" s="165"/>
      <c r="D513" s="10"/>
      <c r="E513" s="17"/>
      <c r="F513" s="133">
        <f t="shared" si="35"/>
        <v>0</v>
      </c>
      <c r="G513" s="17"/>
      <c r="H513" s="19">
        <f t="shared" si="36"/>
        <v>0</v>
      </c>
      <c r="I513" s="73"/>
      <c r="J513" s="15">
        <f t="shared" si="37"/>
        <v>0</v>
      </c>
    </row>
    <row r="514" spans="1:10" x14ac:dyDescent="0.35">
      <c r="A514" s="169">
        <f t="shared" si="34"/>
        <v>503</v>
      </c>
      <c r="B514" s="159" t="s">
        <v>689</v>
      </c>
      <c r="C514" s="165">
        <v>16.48494225</v>
      </c>
      <c r="D514" s="10" t="s">
        <v>300</v>
      </c>
      <c r="E514" s="17">
        <v>-120</v>
      </c>
      <c r="F514" s="133">
        <f t="shared" si="35"/>
        <v>-1978.19307</v>
      </c>
      <c r="G514" s="17">
        <v>-120</v>
      </c>
      <c r="H514" s="19">
        <f t="shared" si="36"/>
        <v>-1978.19307</v>
      </c>
      <c r="I514" s="73">
        <v>-120</v>
      </c>
      <c r="J514" s="15">
        <f t="shared" si="37"/>
        <v>-1978.19307</v>
      </c>
    </row>
    <row r="515" spans="1:10" x14ac:dyDescent="0.35">
      <c r="A515" s="169">
        <f t="shared" si="34"/>
        <v>504</v>
      </c>
      <c r="B515" s="159" t="s">
        <v>469</v>
      </c>
      <c r="C515" s="165">
        <v>5.3408321999999995</v>
      </c>
      <c r="D515" s="10" t="s">
        <v>300</v>
      </c>
      <c r="E515" s="17">
        <v>-480</v>
      </c>
      <c r="F515" s="133">
        <f t="shared" si="35"/>
        <v>-2563.5994559999999</v>
      </c>
      <c r="G515" s="17">
        <v>-480</v>
      </c>
      <c r="H515" s="19">
        <f t="shared" si="36"/>
        <v>-2563.5994559999999</v>
      </c>
      <c r="I515" s="73">
        <v>-480</v>
      </c>
      <c r="J515" s="15">
        <f t="shared" si="37"/>
        <v>-2563.5994559999999</v>
      </c>
    </row>
    <row r="516" spans="1:10" x14ac:dyDescent="0.35">
      <c r="A516" s="169">
        <f t="shared" si="34"/>
        <v>505</v>
      </c>
      <c r="B516" s="159" t="s">
        <v>432</v>
      </c>
      <c r="C516" s="165">
        <v>2.1136005</v>
      </c>
      <c r="D516" s="10" t="s">
        <v>300</v>
      </c>
      <c r="E516" s="17">
        <v>-120</v>
      </c>
      <c r="F516" s="133">
        <f t="shared" si="35"/>
        <v>-253.63206</v>
      </c>
      <c r="G516" s="17">
        <v>-120</v>
      </c>
      <c r="H516" s="19">
        <f t="shared" si="36"/>
        <v>-253.63206</v>
      </c>
      <c r="I516" s="73">
        <v>-120</v>
      </c>
      <c r="J516" s="15">
        <f t="shared" si="37"/>
        <v>-253.63206</v>
      </c>
    </row>
    <row r="517" spans="1:10" x14ac:dyDescent="0.35">
      <c r="A517" s="169">
        <f t="shared" si="34"/>
        <v>506</v>
      </c>
      <c r="B517" s="159" t="s">
        <v>695</v>
      </c>
      <c r="C517" s="165">
        <v>565.98749999999995</v>
      </c>
      <c r="D517" s="10" t="s">
        <v>292</v>
      </c>
      <c r="E517" s="17">
        <v>-1.1111111111111112</v>
      </c>
      <c r="F517" s="133">
        <f t="shared" si="35"/>
        <v>-628.875</v>
      </c>
      <c r="G517" s="17">
        <v>-1.1111111111111112</v>
      </c>
      <c r="H517" s="19">
        <f t="shared" si="36"/>
        <v>-628.875</v>
      </c>
      <c r="I517" s="73">
        <v>-1.1111111111111112</v>
      </c>
      <c r="J517" s="15">
        <f t="shared" si="37"/>
        <v>-628.875</v>
      </c>
    </row>
    <row r="518" spans="1:10" x14ac:dyDescent="0.35">
      <c r="A518" s="169">
        <f t="shared" si="34"/>
        <v>507</v>
      </c>
      <c r="B518" s="159" t="s">
        <v>761</v>
      </c>
      <c r="C518" s="165">
        <v>104.29650000000001</v>
      </c>
      <c r="D518" s="10" t="s">
        <v>292</v>
      </c>
      <c r="E518" s="17">
        <v>-3.3333333333333335</v>
      </c>
      <c r="F518" s="133">
        <f t="shared" si="35"/>
        <v>-347.65500000000003</v>
      </c>
      <c r="G518" s="17">
        <v>-3.3333333333333335</v>
      </c>
      <c r="H518" s="19">
        <f t="shared" si="36"/>
        <v>-347.65500000000003</v>
      </c>
      <c r="I518" s="73">
        <v>-3.3333333333333335</v>
      </c>
      <c r="J518" s="15">
        <f t="shared" si="37"/>
        <v>-347.65500000000003</v>
      </c>
    </row>
    <row r="519" spans="1:10" x14ac:dyDescent="0.35">
      <c r="A519" s="169">
        <f t="shared" si="34"/>
        <v>508</v>
      </c>
      <c r="B519" s="154" t="s">
        <v>762</v>
      </c>
      <c r="C519" s="165"/>
      <c r="D519" s="10"/>
      <c r="E519" s="17"/>
      <c r="F519" s="133">
        <f t="shared" si="35"/>
        <v>0</v>
      </c>
      <c r="G519" s="17"/>
      <c r="H519" s="19">
        <f t="shared" si="36"/>
        <v>0</v>
      </c>
      <c r="I519" s="73"/>
      <c r="J519" s="15">
        <f t="shared" si="37"/>
        <v>0</v>
      </c>
    </row>
    <row r="520" spans="1:10" x14ac:dyDescent="0.35">
      <c r="A520" s="169">
        <f t="shared" si="34"/>
        <v>509</v>
      </c>
      <c r="B520" s="159" t="s">
        <v>763</v>
      </c>
      <c r="C520" s="165"/>
      <c r="D520" s="10"/>
      <c r="E520" s="17"/>
      <c r="F520" s="133">
        <f t="shared" si="35"/>
        <v>0</v>
      </c>
      <c r="G520" s="17"/>
      <c r="H520" s="19">
        <f t="shared" si="36"/>
        <v>0</v>
      </c>
      <c r="I520" s="73"/>
      <c r="J520" s="15">
        <f t="shared" si="37"/>
        <v>0</v>
      </c>
    </row>
    <row r="521" spans="1:10" x14ac:dyDescent="0.35">
      <c r="A521" s="169">
        <f t="shared" si="34"/>
        <v>510</v>
      </c>
      <c r="B521" s="159" t="s">
        <v>441</v>
      </c>
      <c r="C521" s="165">
        <v>20.362198499999998</v>
      </c>
      <c r="D521" s="10" t="s">
        <v>300</v>
      </c>
      <c r="E521" s="17">
        <v>-140</v>
      </c>
      <c r="F521" s="133">
        <f t="shared" si="35"/>
        <v>-2850.7077899999999</v>
      </c>
      <c r="G521" s="17">
        <v>-140</v>
      </c>
      <c r="H521" s="19">
        <f t="shared" si="36"/>
        <v>-2850.7077899999999</v>
      </c>
      <c r="I521" s="73">
        <v>-140</v>
      </c>
      <c r="J521" s="15">
        <f t="shared" si="37"/>
        <v>-2850.7077899999999</v>
      </c>
    </row>
    <row r="522" spans="1:10" x14ac:dyDescent="0.35">
      <c r="A522" s="169">
        <f t="shared" si="34"/>
        <v>511</v>
      </c>
      <c r="B522" s="159" t="s">
        <v>469</v>
      </c>
      <c r="C522" s="165">
        <v>5.3408321999999995</v>
      </c>
      <c r="D522" s="10" t="s">
        <v>300</v>
      </c>
      <c r="E522" s="17">
        <v>-560</v>
      </c>
      <c r="F522" s="133">
        <f t="shared" si="35"/>
        <v>-2990.8660319999999</v>
      </c>
      <c r="G522" s="17">
        <v>-560</v>
      </c>
      <c r="H522" s="19">
        <f t="shared" si="36"/>
        <v>-2990.8660319999999</v>
      </c>
      <c r="I522" s="73">
        <v>-560</v>
      </c>
      <c r="J522" s="15">
        <f t="shared" si="37"/>
        <v>-2990.8660319999999</v>
      </c>
    </row>
    <row r="523" spans="1:10" x14ac:dyDescent="0.35">
      <c r="A523" s="169">
        <f t="shared" si="34"/>
        <v>512</v>
      </c>
      <c r="B523" s="159" t="s">
        <v>432</v>
      </c>
      <c r="C523" s="165">
        <v>2.1136005</v>
      </c>
      <c r="D523" s="10" t="s">
        <v>300</v>
      </c>
      <c r="E523" s="17">
        <v>-140</v>
      </c>
      <c r="F523" s="133">
        <f t="shared" si="35"/>
        <v>-295.90406999999999</v>
      </c>
      <c r="G523" s="17">
        <v>-140</v>
      </c>
      <c r="H523" s="19">
        <f t="shared" si="36"/>
        <v>-295.90406999999999</v>
      </c>
      <c r="I523" s="73">
        <v>-140</v>
      </c>
      <c r="J523" s="15">
        <f t="shared" si="37"/>
        <v>-295.90406999999999</v>
      </c>
    </row>
    <row r="524" spans="1:10" x14ac:dyDescent="0.35">
      <c r="A524" s="169">
        <f t="shared" si="34"/>
        <v>513</v>
      </c>
      <c r="B524" s="159" t="s">
        <v>764</v>
      </c>
      <c r="C524" s="165"/>
      <c r="D524" s="10"/>
      <c r="E524" s="17"/>
      <c r="F524" s="133">
        <f t="shared" si="35"/>
        <v>0</v>
      </c>
      <c r="G524" s="17"/>
      <c r="H524" s="19">
        <f t="shared" si="36"/>
        <v>0</v>
      </c>
      <c r="I524" s="73"/>
      <c r="J524" s="15">
        <f t="shared" si="37"/>
        <v>0</v>
      </c>
    </row>
    <row r="525" spans="1:10" x14ac:dyDescent="0.35">
      <c r="A525" s="169">
        <f t="shared" si="34"/>
        <v>514</v>
      </c>
      <c r="B525" s="159" t="s">
        <v>765</v>
      </c>
      <c r="C525" s="165">
        <v>3984.9249999999997</v>
      </c>
      <c r="D525" s="10" t="s">
        <v>290</v>
      </c>
      <c r="E525" s="17">
        <v>-1</v>
      </c>
      <c r="F525" s="133">
        <f t="shared" si="35"/>
        <v>-3984.9249999999997</v>
      </c>
      <c r="G525" s="17">
        <v>-1</v>
      </c>
      <c r="H525" s="19">
        <f t="shared" si="36"/>
        <v>-3984.9249999999997</v>
      </c>
      <c r="I525" s="73">
        <v>-1</v>
      </c>
      <c r="J525" s="15">
        <f t="shared" si="37"/>
        <v>-3984.9249999999997</v>
      </c>
    </row>
    <row r="526" spans="1:10" x14ac:dyDescent="0.35">
      <c r="A526" s="169">
        <f t="shared" si="34"/>
        <v>515</v>
      </c>
      <c r="B526" s="159" t="s">
        <v>766</v>
      </c>
      <c r="C526" s="165">
        <v>2450</v>
      </c>
      <c r="D526" s="10" t="s">
        <v>290</v>
      </c>
      <c r="E526" s="17">
        <v>-1</v>
      </c>
      <c r="F526" s="133">
        <f t="shared" si="35"/>
        <v>-2450</v>
      </c>
      <c r="G526" s="17">
        <v>-1</v>
      </c>
      <c r="H526" s="19">
        <f t="shared" si="36"/>
        <v>-2450</v>
      </c>
      <c r="I526" s="73">
        <v>-1</v>
      </c>
      <c r="J526" s="15">
        <f t="shared" si="37"/>
        <v>-2450</v>
      </c>
    </row>
    <row r="527" spans="1:10" x14ac:dyDescent="0.35">
      <c r="A527" s="169">
        <f t="shared" si="34"/>
        <v>516</v>
      </c>
      <c r="B527" s="159" t="s">
        <v>767</v>
      </c>
      <c r="C527" s="165"/>
      <c r="D527" s="10"/>
      <c r="E527" s="17"/>
      <c r="F527" s="133">
        <f t="shared" si="35"/>
        <v>0</v>
      </c>
      <c r="G527" s="17"/>
      <c r="H527" s="19">
        <f t="shared" si="36"/>
        <v>0</v>
      </c>
      <c r="I527" s="73"/>
      <c r="J527" s="15">
        <f t="shared" si="37"/>
        <v>0</v>
      </c>
    </row>
    <row r="528" spans="1:10" x14ac:dyDescent="0.35">
      <c r="A528" s="169">
        <f t="shared" si="34"/>
        <v>517</v>
      </c>
      <c r="B528" s="159" t="s">
        <v>420</v>
      </c>
      <c r="C528" s="165">
        <v>11.378444999999999</v>
      </c>
      <c r="D528" s="10" t="s">
        <v>300</v>
      </c>
      <c r="E528" s="17">
        <v>-10</v>
      </c>
      <c r="F528" s="133">
        <f t="shared" si="35"/>
        <v>-113.78444999999999</v>
      </c>
      <c r="G528" s="17">
        <v>-10</v>
      </c>
      <c r="H528" s="19">
        <f t="shared" si="36"/>
        <v>-113.78444999999999</v>
      </c>
      <c r="I528" s="73">
        <v>-10</v>
      </c>
      <c r="J528" s="15">
        <f t="shared" si="37"/>
        <v>-113.78444999999999</v>
      </c>
    </row>
    <row r="529" spans="1:10" x14ac:dyDescent="0.35">
      <c r="A529" s="169">
        <f t="shared" si="34"/>
        <v>518</v>
      </c>
      <c r="B529" s="159" t="s">
        <v>432</v>
      </c>
      <c r="C529" s="165">
        <v>2.1136005</v>
      </c>
      <c r="D529" s="10" t="s">
        <v>300</v>
      </c>
      <c r="E529" s="17">
        <v>-30</v>
      </c>
      <c r="F529" s="133">
        <f t="shared" si="35"/>
        <v>-63.408014999999999</v>
      </c>
      <c r="G529" s="17">
        <v>-30</v>
      </c>
      <c r="H529" s="19">
        <f t="shared" si="36"/>
        <v>-63.408014999999999</v>
      </c>
      <c r="I529" s="73">
        <v>-30</v>
      </c>
      <c r="J529" s="15">
        <f t="shared" si="37"/>
        <v>-63.408014999999999</v>
      </c>
    </row>
    <row r="530" spans="1:10" x14ac:dyDescent="0.35">
      <c r="A530" s="169">
        <f t="shared" si="34"/>
        <v>519</v>
      </c>
      <c r="B530" s="159" t="s">
        <v>423</v>
      </c>
      <c r="C530" s="165">
        <v>1.586055</v>
      </c>
      <c r="D530" s="10" t="s">
        <v>300</v>
      </c>
      <c r="E530" s="17">
        <v>-10</v>
      </c>
      <c r="F530" s="133">
        <f t="shared" si="35"/>
        <v>-15.86055</v>
      </c>
      <c r="G530" s="17">
        <v>-10</v>
      </c>
      <c r="H530" s="19">
        <f t="shared" si="36"/>
        <v>-15.86055</v>
      </c>
      <c r="I530" s="73">
        <v>-10</v>
      </c>
      <c r="J530" s="15">
        <f t="shared" si="37"/>
        <v>-15.86055</v>
      </c>
    </row>
    <row r="531" spans="1:10" x14ac:dyDescent="0.35">
      <c r="A531" s="169">
        <f t="shared" si="34"/>
        <v>520</v>
      </c>
      <c r="B531" s="159" t="s">
        <v>768</v>
      </c>
      <c r="C531" s="165"/>
      <c r="D531" s="10"/>
      <c r="E531" s="17"/>
      <c r="F531" s="133">
        <f t="shared" si="35"/>
        <v>0</v>
      </c>
      <c r="G531" s="17"/>
      <c r="H531" s="19">
        <f t="shared" si="36"/>
        <v>0</v>
      </c>
      <c r="I531" s="73"/>
      <c r="J531" s="15">
        <f t="shared" si="37"/>
        <v>0</v>
      </c>
    </row>
    <row r="532" spans="1:10" x14ac:dyDescent="0.35">
      <c r="A532" s="169">
        <f t="shared" si="34"/>
        <v>521</v>
      </c>
      <c r="B532" s="159" t="s">
        <v>769</v>
      </c>
      <c r="C532" s="165">
        <v>144.99600000000001</v>
      </c>
      <c r="D532" s="10" t="s">
        <v>290</v>
      </c>
      <c r="E532" s="17">
        <v>-2</v>
      </c>
      <c r="F532" s="133">
        <f t="shared" si="35"/>
        <v>-289.99200000000002</v>
      </c>
      <c r="G532" s="17">
        <v>-2</v>
      </c>
      <c r="H532" s="19">
        <f t="shared" si="36"/>
        <v>-289.99200000000002</v>
      </c>
      <c r="I532" s="73">
        <v>-2</v>
      </c>
      <c r="J532" s="15">
        <f t="shared" si="37"/>
        <v>-289.99200000000002</v>
      </c>
    </row>
    <row r="533" spans="1:10" x14ac:dyDescent="0.35">
      <c r="A533" s="169">
        <f t="shared" si="34"/>
        <v>522</v>
      </c>
      <c r="B533" s="159" t="s">
        <v>770</v>
      </c>
      <c r="C533" s="165">
        <v>19.969780499999999</v>
      </c>
      <c r="D533" s="10" t="s">
        <v>300</v>
      </c>
      <c r="E533" s="17">
        <v>-30</v>
      </c>
      <c r="F533" s="133">
        <f t="shared" si="35"/>
        <v>-599.09341499999994</v>
      </c>
      <c r="G533" s="17">
        <v>-30</v>
      </c>
      <c r="H533" s="19">
        <f t="shared" si="36"/>
        <v>-599.09341499999994</v>
      </c>
      <c r="I533" s="73">
        <v>-30</v>
      </c>
      <c r="J533" s="15">
        <f t="shared" si="37"/>
        <v>-599.09341499999994</v>
      </c>
    </row>
    <row r="534" spans="1:10" x14ac:dyDescent="0.35">
      <c r="A534" s="169">
        <f t="shared" si="34"/>
        <v>523</v>
      </c>
      <c r="B534" s="159" t="s">
        <v>421</v>
      </c>
      <c r="C534" s="165">
        <v>1.1848649999999998</v>
      </c>
      <c r="D534" s="10" t="s">
        <v>300</v>
      </c>
      <c r="E534" s="17">
        <v>-90</v>
      </c>
      <c r="F534" s="133">
        <f t="shared" si="35"/>
        <v>-106.63784999999999</v>
      </c>
      <c r="G534" s="17">
        <v>-90</v>
      </c>
      <c r="H534" s="19">
        <f t="shared" si="36"/>
        <v>-106.63784999999999</v>
      </c>
      <c r="I534" s="73">
        <v>-90</v>
      </c>
      <c r="J534" s="15">
        <f t="shared" si="37"/>
        <v>-106.63784999999999</v>
      </c>
    </row>
    <row r="535" spans="1:10" x14ac:dyDescent="0.35">
      <c r="A535" s="169">
        <f t="shared" si="34"/>
        <v>524</v>
      </c>
      <c r="B535" s="159" t="s">
        <v>771</v>
      </c>
      <c r="C535" s="165"/>
      <c r="D535" s="10"/>
      <c r="E535" s="17"/>
      <c r="F535" s="133">
        <f t="shared" si="35"/>
        <v>0</v>
      </c>
      <c r="G535" s="17"/>
      <c r="H535" s="19">
        <f t="shared" si="36"/>
        <v>0</v>
      </c>
      <c r="I535" s="73"/>
      <c r="J535" s="15">
        <f t="shared" si="37"/>
        <v>0</v>
      </c>
    </row>
    <row r="536" spans="1:10" x14ac:dyDescent="0.35">
      <c r="A536" s="169">
        <f t="shared" si="34"/>
        <v>525</v>
      </c>
      <c r="B536" s="159" t="s">
        <v>772</v>
      </c>
      <c r="C536" s="165">
        <v>993.30000000000007</v>
      </c>
      <c r="D536" s="10" t="s">
        <v>290</v>
      </c>
      <c r="E536" s="17">
        <v>-2</v>
      </c>
      <c r="F536" s="133">
        <f t="shared" si="35"/>
        <v>-1986.6000000000001</v>
      </c>
      <c r="G536" s="17">
        <v>-2</v>
      </c>
      <c r="H536" s="19">
        <f t="shared" si="36"/>
        <v>-1986.6000000000001</v>
      </c>
      <c r="I536" s="73">
        <v>-2</v>
      </c>
      <c r="J536" s="15">
        <f t="shared" si="37"/>
        <v>-1986.6000000000001</v>
      </c>
    </row>
    <row r="537" spans="1:10" x14ac:dyDescent="0.35">
      <c r="A537" s="169">
        <f t="shared" si="34"/>
        <v>526</v>
      </c>
      <c r="B537" s="159" t="s">
        <v>720</v>
      </c>
      <c r="C537" s="165">
        <v>27.25</v>
      </c>
      <c r="D537" s="10" t="s">
        <v>300</v>
      </c>
      <c r="E537" s="17">
        <v>-40</v>
      </c>
      <c r="F537" s="133">
        <f t="shared" si="35"/>
        <v>-1090</v>
      </c>
      <c r="G537" s="17">
        <v>-40</v>
      </c>
      <c r="H537" s="19">
        <f t="shared" si="36"/>
        <v>-1090</v>
      </c>
      <c r="I537" s="73">
        <v>-40</v>
      </c>
      <c r="J537" s="15">
        <f t="shared" si="37"/>
        <v>-1090</v>
      </c>
    </row>
    <row r="538" spans="1:10" x14ac:dyDescent="0.35">
      <c r="A538" s="169">
        <f t="shared" si="34"/>
        <v>527</v>
      </c>
      <c r="B538" s="159" t="s">
        <v>421</v>
      </c>
      <c r="C538" s="165">
        <v>1.1848649999999998</v>
      </c>
      <c r="D538" s="10" t="s">
        <v>300</v>
      </c>
      <c r="E538" s="17">
        <v>-160</v>
      </c>
      <c r="F538" s="133">
        <f t="shared" si="35"/>
        <v>-189.57839999999999</v>
      </c>
      <c r="G538" s="17">
        <v>-160</v>
      </c>
      <c r="H538" s="19">
        <f t="shared" si="36"/>
        <v>-189.57839999999999</v>
      </c>
      <c r="I538" s="73">
        <v>-160</v>
      </c>
      <c r="J538" s="15">
        <f t="shared" si="37"/>
        <v>-189.57839999999999</v>
      </c>
    </row>
    <row r="539" spans="1:10" x14ac:dyDescent="0.35">
      <c r="A539" s="169">
        <f t="shared" si="34"/>
        <v>528</v>
      </c>
      <c r="B539" s="159" t="s">
        <v>773</v>
      </c>
      <c r="C539" s="165">
        <v>77.948250000000002</v>
      </c>
      <c r="D539" s="10" t="s">
        <v>290</v>
      </c>
      <c r="E539" s="17">
        <v>-1</v>
      </c>
      <c r="F539" s="133">
        <f t="shared" si="35"/>
        <v>-77.948250000000002</v>
      </c>
      <c r="G539" s="17">
        <v>-1</v>
      </c>
      <c r="H539" s="19">
        <f t="shared" si="36"/>
        <v>-77.948250000000002</v>
      </c>
      <c r="I539" s="73">
        <v>-1</v>
      </c>
      <c r="J539" s="15">
        <f t="shared" si="37"/>
        <v>-77.948250000000002</v>
      </c>
    </row>
    <row r="540" spans="1:10" x14ac:dyDescent="0.35">
      <c r="A540" s="169">
        <f t="shared" si="34"/>
        <v>529</v>
      </c>
      <c r="B540" s="159" t="s">
        <v>770</v>
      </c>
      <c r="C540" s="165">
        <v>19.969780499999999</v>
      </c>
      <c r="D540" s="10" t="s">
        <v>300</v>
      </c>
      <c r="E540" s="17">
        <v>-15</v>
      </c>
      <c r="F540" s="133">
        <f t="shared" si="35"/>
        <v>-299.54670749999997</v>
      </c>
      <c r="G540" s="17">
        <v>-15</v>
      </c>
      <c r="H540" s="19">
        <f t="shared" si="36"/>
        <v>-299.54670749999997</v>
      </c>
      <c r="I540" s="73">
        <v>-15</v>
      </c>
      <c r="J540" s="15">
        <f t="shared" si="37"/>
        <v>-299.54670749999997</v>
      </c>
    </row>
    <row r="541" spans="1:10" x14ac:dyDescent="0.35">
      <c r="A541" s="169">
        <f t="shared" si="34"/>
        <v>530</v>
      </c>
      <c r="B541" s="159" t="s">
        <v>421</v>
      </c>
      <c r="C541" s="165">
        <v>1.1848649999999998</v>
      </c>
      <c r="D541" s="10" t="s">
        <v>300</v>
      </c>
      <c r="E541" s="17">
        <v>-45</v>
      </c>
      <c r="F541" s="133">
        <f t="shared" si="35"/>
        <v>-53.318924999999993</v>
      </c>
      <c r="G541" s="17">
        <v>-45</v>
      </c>
      <c r="H541" s="19">
        <f t="shared" si="36"/>
        <v>-53.318924999999993</v>
      </c>
      <c r="I541" s="73">
        <v>-45</v>
      </c>
      <c r="J541" s="15">
        <f t="shared" si="37"/>
        <v>-53.318924999999993</v>
      </c>
    </row>
    <row r="542" spans="1:10" x14ac:dyDescent="0.35">
      <c r="A542" s="169">
        <f t="shared" si="34"/>
        <v>531</v>
      </c>
      <c r="B542" s="159" t="s">
        <v>774</v>
      </c>
      <c r="C542" s="165">
        <v>701.65099499999997</v>
      </c>
      <c r="D542" s="10" t="s">
        <v>290</v>
      </c>
      <c r="E542" s="17">
        <v>-1</v>
      </c>
      <c r="F542" s="133">
        <f t="shared" si="35"/>
        <v>-701.65099499999997</v>
      </c>
      <c r="G542" s="17">
        <v>-1</v>
      </c>
      <c r="H542" s="19">
        <f t="shared" si="36"/>
        <v>-701.65099499999997</v>
      </c>
      <c r="I542" s="73">
        <v>-1</v>
      </c>
      <c r="J542" s="15">
        <f t="shared" si="37"/>
        <v>-701.65099499999997</v>
      </c>
    </row>
    <row r="543" spans="1:10" x14ac:dyDescent="0.35">
      <c r="A543" s="169">
        <f t="shared" si="34"/>
        <v>532</v>
      </c>
      <c r="B543" s="159" t="s">
        <v>720</v>
      </c>
      <c r="C543" s="165">
        <v>27.25</v>
      </c>
      <c r="D543" s="10" t="s">
        <v>300</v>
      </c>
      <c r="E543" s="17">
        <v>-20</v>
      </c>
      <c r="F543" s="133">
        <f t="shared" si="35"/>
        <v>-545</v>
      </c>
      <c r="G543" s="17">
        <v>-20</v>
      </c>
      <c r="H543" s="19">
        <f t="shared" si="36"/>
        <v>-545</v>
      </c>
      <c r="I543" s="73">
        <v>-20</v>
      </c>
      <c r="J543" s="15">
        <f t="shared" si="37"/>
        <v>-545</v>
      </c>
    </row>
    <row r="544" spans="1:10" x14ac:dyDescent="0.35">
      <c r="A544" s="169">
        <f t="shared" si="34"/>
        <v>533</v>
      </c>
      <c r="B544" s="159" t="s">
        <v>421</v>
      </c>
      <c r="C544" s="165">
        <v>1.1848649999999998</v>
      </c>
      <c r="D544" s="10" t="s">
        <v>300</v>
      </c>
      <c r="E544" s="17">
        <v>-80</v>
      </c>
      <c r="F544" s="133">
        <f t="shared" si="35"/>
        <v>-94.789199999999994</v>
      </c>
      <c r="G544" s="17">
        <v>-80</v>
      </c>
      <c r="H544" s="19">
        <f t="shared" si="36"/>
        <v>-94.789199999999994</v>
      </c>
      <c r="I544" s="73">
        <v>-80</v>
      </c>
      <c r="J544" s="15">
        <f t="shared" si="37"/>
        <v>-94.789199999999994</v>
      </c>
    </row>
    <row r="545" spans="1:10" x14ac:dyDescent="0.35">
      <c r="A545" s="169">
        <f t="shared" si="34"/>
        <v>534</v>
      </c>
      <c r="B545" s="159" t="s">
        <v>775</v>
      </c>
      <c r="C545" s="165"/>
      <c r="D545" s="10"/>
      <c r="E545" s="17"/>
      <c r="F545" s="133">
        <f t="shared" si="35"/>
        <v>0</v>
      </c>
      <c r="G545" s="17"/>
      <c r="H545" s="19">
        <f t="shared" si="36"/>
        <v>0</v>
      </c>
      <c r="I545" s="73"/>
      <c r="J545" s="15">
        <f t="shared" si="37"/>
        <v>0</v>
      </c>
    </row>
    <row r="546" spans="1:10" x14ac:dyDescent="0.35">
      <c r="A546" s="169">
        <f t="shared" si="34"/>
        <v>535</v>
      </c>
      <c r="B546" s="159" t="s">
        <v>703</v>
      </c>
      <c r="C546" s="165">
        <v>77.948250000000002</v>
      </c>
      <c r="D546" s="10" t="s">
        <v>290</v>
      </c>
      <c r="E546" s="17">
        <v>-4</v>
      </c>
      <c r="F546" s="133">
        <f t="shared" si="35"/>
        <v>-311.79300000000001</v>
      </c>
      <c r="G546" s="17">
        <v>-4</v>
      </c>
      <c r="H546" s="19">
        <f t="shared" si="36"/>
        <v>-311.79300000000001</v>
      </c>
      <c r="I546" s="73">
        <v>-4</v>
      </c>
      <c r="J546" s="15">
        <f t="shared" si="37"/>
        <v>-311.79300000000001</v>
      </c>
    </row>
    <row r="547" spans="1:10" x14ac:dyDescent="0.35">
      <c r="A547" s="169">
        <f t="shared" si="34"/>
        <v>536</v>
      </c>
      <c r="B547" s="159" t="s">
        <v>719</v>
      </c>
      <c r="C547" s="165">
        <v>11.553497999999999</v>
      </c>
      <c r="D547" s="10" t="s">
        <v>300</v>
      </c>
      <c r="E547" s="17">
        <v>-60</v>
      </c>
      <c r="F547" s="133">
        <f t="shared" si="35"/>
        <v>-693.20988</v>
      </c>
      <c r="G547" s="17">
        <v>-60</v>
      </c>
      <c r="H547" s="19">
        <f t="shared" si="36"/>
        <v>-693.20988</v>
      </c>
      <c r="I547" s="73">
        <v>-60</v>
      </c>
      <c r="J547" s="15">
        <f t="shared" si="37"/>
        <v>-693.20988</v>
      </c>
    </row>
    <row r="548" spans="1:10" x14ac:dyDescent="0.35">
      <c r="A548" s="169">
        <f t="shared" si="34"/>
        <v>537</v>
      </c>
      <c r="B548" s="159" t="s">
        <v>421</v>
      </c>
      <c r="C548" s="165">
        <v>1.1848649999999998</v>
      </c>
      <c r="D548" s="10" t="s">
        <v>300</v>
      </c>
      <c r="E548" s="17">
        <v>-180</v>
      </c>
      <c r="F548" s="133">
        <f t="shared" si="35"/>
        <v>-213.27569999999997</v>
      </c>
      <c r="G548" s="17">
        <v>-180</v>
      </c>
      <c r="H548" s="19">
        <f t="shared" si="36"/>
        <v>-213.27569999999997</v>
      </c>
      <c r="I548" s="73">
        <v>-180</v>
      </c>
      <c r="J548" s="15">
        <f t="shared" si="37"/>
        <v>-213.27569999999997</v>
      </c>
    </row>
    <row r="549" spans="1:10" x14ac:dyDescent="0.35">
      <c r="A549" s="169">
        <f t="shared" si="34"/>
        <v>538</v>
      </c>
      <c r="B549" s="159" t="s">
        <v>695</v>
      </c>
      <c r="C549" s="165">
        <v>565.98749999999995</v>
      </c>
      <c r="D549" s="10" t="s">
        <v>292</v>
      </c>
      <c r="E549" s="17">
        <v>-1</v>
      </c>
      <c r="F549" s="133">
        <f t="shared" si="35"/>
        <v>-565.98749999999995</v>
      </c>
      <c r="G549" s="17">
        <v>-1</v>
      </c>
      <c r="H549" s="19">
        <f t="shared" si="36"/>
        <v>-565.98749999999995</v>
      </c>
      <c r="I549" s="73">
        <v>-1</v>
      </c>
      <c r="J549" s="15">
        <f t="shared" si="37"/>
        <v>-565.98749999999995</v>
      </c>
    </row>
    <row r="550" spans="1:10" x14ac:dyDescent="0.35">
      <c r="A550" s="169">
        <f t="shared" si="34"/>
        <v>539</v>
      </c>
      <c r="B550" s="159" t="s">
        <v>761</v>
      </c>
      <c r="C550" s="165">
        <v>104.29650000000001</v>
      </c>
      <c r="D550" s="10" t="s">
        <v>292</v>
      </c>
      <c r="E550" s="17">
        <v>-3</v>
      </c>
      <c r="F550" s="133">
        <f t="shared" si="35"/>
        <v>-312.8895</v>
      </c>
      <c r="G550" s="17">
        <v>-3</v>
      </c>
      <c r="H550" s="19">
        <f t="shared" si="36"/>
        <v>-312.8895</v>
      </c>
      <c r="I550" s="73">
        <v>-3</v>
      </c>
      <c r="J550" s="15">
        <f t="shared" si="37"/>
        <v>-312.8895</v>
      </c>
    </row>
    <row r="551" spans="1:10" x14ac:dyDescent="0.35">
      <c r="A551" s="169">
        <f t="shared" si="34"/>
        <v>540</v>
      </c>
      <c r="B551" s="159"/>
      <c r="C551" s="165"/>
      <c r="D551" s="10"/>
      <c r="E551" s="17"/>
      <c r="F551" s="133">
        <f t="shared" si="35"/>
        <v>0</v>
      </c>
      <c r="G551" s="17"/>
      <c r="H551" s="19">
        <f t="shared" si="36"/>
        <v>0</v>
      </c>
      <c r="I551" s="73"/>
      <c r="J551" s="15">
        <f t="shared" si="37"/>
        <v>0</v>
      </c>
    </row>
    <row r="552" spans="1:10" x14ac:dyDescent="0.35">
      <c r="A552" s="169">
        <f t="shared" si="34"/>
        <v>541</v>
      </c>
      <c r="B552" s="9"/>
      <c r="C552" s="11"/>
      <c r="D552" s="10"/>
      <c r="E552" s="17"/>
      <c r="F552" s="20" t="s">
        <v>6</v>
      </c>
      <c r="G552" s="17"/>
      <c r="H552" s="20" t="s">
        <v>6</v>
      </c>
      <c r="I552" s="73"/>
      <c r="J552" s="20" t="s">
        <v>6</v>
      </c>
    </row>
    <row r="553" spans="1:10" x14ac:dyDescent="0.35">
      <c r="A553" s="169">
        <f t="shared" si="34"/>
        <v>542</v>
      </c>
      <c r="B553" s="13" t="str">
        <f>"Subtotal " &amp; B482</f>
        <v>Subtotal 33-00-00 Utilities</v>
      </c>
      <c r="C553" s="11"/>
      <c r="D553" s="10"/>
      <c r="E553" s="17"/>
      <c r="F553" s="15">
        <f>SUM(F482:F552)</f>
        <v>1197001.6861844999</v>
      </c>
      <c r="G553" s="17"/>
      <c r="H553" s="15">
        <f>SUM(H482:H552)</f>
        <v>-338798.31381549995</v>
      </c>
      <c r="I553" s="73"/>
      <c r="J553" s="15">
        <f>SUM(J482:J552)</f>
        <v>-338798.31381549995</v>
      </c>
    </row>
    <row r="554" spans="1:10" x14ac:dyDescent="0.35">
      <c r="A554" s="169">
        <f>ROW()-11</f>
        <v>543</v>
      </c>
      <c r="B554" s="13"/>
      <c r="C554" s="11"/>
      <c r="D554" s="10"/>
      <c r="E554" s="17"/>
      <c r="F554" s="15"/>
      <c r="G554" s="17"/>
      <c r="H554" s="15"/>
      <c r="I554" s="73"/>
      <c r="J554" s="15"/>
    </row>
    <row r="555" spans="1:10" x14ac:dyDescent="0.35">
      <c r="A555" s="170" t="s">
        <v>60</v>
      </c>
      <c r="B555" s="43"/>
      <c r="C555" s="46"/>
      <c r="D555" s="44"/>
      <c r="E555" s="45"/>
      <c r="F555" s="45"/>
      <c r="G555" s="45"/>
      <c r="H555" s="45"/>
      <c r="I555" s="75"/>
      <c r="J555" s="47"/>
    </row>
    <row r="558" spans="1:10" x14ac:dyDescent="0.35">
      <c r="F558" s="16">
        <f>SUMPRODUCT(C12:C552,E12:E552)</f>
        <v>28594817.95248168</v>
      </c>
      <c r="H558" s="16">
        <f>SUMPRODUCT(C12:C552,G12:G552)</f>
        <v>26347019.100437719</v>
      </c>
      <c r="J558" s="16">
        <f>SUMPRODUCT(C12:C552,I12:I552)</f>
        <v>25205527.280268259</v>
      </c>
    </row>
    <row r="559" spans="1:10" x14ac:dyDescent="0.35">
      <c r="F559" s="16">
        <f>SUM(F12:F553)/2</f>
        <v>28594817.952481698</v>
      </c>
      <c r="H559" s="16">
        <f>SUM(H12:H553)/2</f>
        <v>26347019.100437731</v>
      </c>
      <c r="J559" s="16">
        <f>SUM(J12:J553)/2</f>
        <v>25205527.280268278</v>
      </c>
    </row>
  </sheetData>
  <mergeCells count="7">
    <mergeCell ref="G10:H10"/>
    <mergeCell ref="I10:J10"/>
    <mergeCell ref="A10:A11"/>
    <mergeCell ref="B10:B11"/>
    <mergeCell ref="C10:C11"/>
    <mergeCell ref="D10:D11"/>
    <mergeCell ref="E10:F10"/>
  </mergeCells>
  <pageMargins left="0.7" right="0.7" top="0.75" bottom="0.75" header="0.3" footer="0.3"/>
  <pageSetup scale="70" orientation="landscape" r:id="rId1"/>
  <headerFoot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1171-42D9-48A1-AE46-4CFC861BF863}">
  <sheetPr transitionEvaluation="1" transitionEntry="1"/>
  <dimension ref="A4:M40"/>
  <sheetViews>
    <sheetView view="pageBreakPreview" zoomScale="60" zoomScaleNormal="100" workbookViewId="0">
      <selection activeCell="A25" sqref="A25"/>
    </sheetView>
  </sheetViews>
  <sheetFormatPr defaultColWidth="9.1328125" defaultRowHeight="13.5" x14ac:dyDescent="0.35"/>
  <cols>
    <col min="1" max="1" width="5.86328125" style="2" customWidth="1"/>
    <col min="2" max="2" width="47" style="2" customWidth="1"/>
    <col min="3" max="3" width="8" style="2" customWidth="1"/>
    <col min="4" max="5" width="16.33203125" style="2" bestFit="1" customWidth="1"/>
    <col min="6" max="6" width="15.53125" style="2" bestFit="1" customWidth="1"/>
    <col min="7" max="7" width="1.86328125" style="2" customWidth="1"/>
    <col min="8" max="10" width="9.1328125" style="2"/>
    <col min="11" max="11" width="13.53125" style="2" bestFit="1" customWidth="1"/>
    <col min="12" max="12" width="9.1328125" style="2"/>
    <col min="13" max="13" width="9.53125" style="2" bestFit="1" customWidth="1"/>
    <col min="14" max="16384" width="9.1328125" style="2"/>
  </cols>
  <sheetData>
    <row r="4" spans="1:13" x14ac:dyDescent="0.35">
      <c r="B4" s="2" t="str">
        <f>SUM!B4</f>
        <v>COLLEGE OF TECHNOLOGY AT FARMINGDALE</v>
      </c>
      <c r="C4" s="14"/>
      <c r="D4" s="14"/>
      <c r="E4" s="14"/>
      <c r="F4" s="22">
        <f>TITLE!A24</f>
        <v>44263</v>
      </c>
    </row>
    <row r="5" spans="1:13" x14ac:dyDescent="0.35">
      <c r="B5" s="2" t="str">
        <f>SUM!B5</f>
        <v>NET ZERO CARBON STUDY</v>
      </c>
    </row>
    <row r="6" spans="1:13" x14ac:dyDescent="0.35">
      <c r="B6" s="2" t="str">
        <f>SUM!B6</f>
        <v>Concept Estimate</v>
      </c>
    </row>
    <row r="8" spans="1:13" ht="15" customHeight="1" x14ac:dyDescent="0.35">
      <c r="A8" s="301" t="s">
        <v>879</v>
      </c>
      <c r="B8" s="301"/>
      <c r="C8" s="301"/>
      <c r="D8" s="301"/>
      <c r="E8" s="301"/>
      <c r="F8" s="301"/>
    </row>
    <row r="10" spans="1:13" ht="13.9" thickBot="1" x14ac:dyDescent="0.4">
      <c r="A10" s="27"/>
      <c r="B10" s="5" t="s">
        <v>4</v>
      </c>
      <c r="C10" s="5"/>
      <c r="D10" s="6" t="s">
        <v>473</v>
      </c>
      <c r="E10" s="6" t="s">
        <v>474</v>
      </c>
      <c r="F10" s="28" t="str">
        <f>'EST SITE'!I10</f>
        <v>Total</v>
      </c>
    </row>
    <row r="11" spans="1:13" x14ac:dyDescent="0.35">
      <c r="A11" s="39"/>
      <c r="B11" s="40"/>
      <c r="C11" s="40"/>
      <c r="D11" s="40"/>
      <c r="E11" s="40"/>
      <c r="F11" s="41"/>
    </row>
    <row r="12" spans="1:13" x14ac:dyDescent="0.35">
      <c r="A12" s="29">
        <f t="shared" ref="A12:A36" si="0">ROW()-11</f>
        <v>1</v>
      </c>
      <c r="B12" s="30" t="str">
        <f>'EST SITE'!B13</f>
        <v>01-00-00 General Requirements</v>
      </c>
      <c r="D12" s="31">
        <f>'EST SITE'!F17</f>
        <v>303540.94631124008</v>
      </c>
      <c r="E12" s="31">
        <f>'EST SITE'!H17</f>
        <v>404744.19200546551</v>
      </c>
      <c r="F12" s="32">
        <f>'EST SITE'!J17</f>
        <v>708285.13831670559</v>
      </c>
    </row>
    <row r="13" spans="1:13" x14ac:dyDescent="0.35">
      <c r="A13" s="29">
        <f t="shared" si="0"/>
        <v>2</v>
      </c>
      <c r="B13" s="30" t="str">
        <f>'EST SITE'!B19</f>
        <v>02-00-01 Site Clearing</v>
      </c>
      <c r="D13" s="31">
        <f>'EST SITE'!F53</f>
        <v>181844.50599999999</v>
      </c>
      <c r="E13" s="31">
        <f>'EST SITE'!H53</f>
        <v>487937.68400000001</v>
      </c>
      <c r="F13" s="32">
        <f>'EST SITE'!J53</f>
        <v>669782.19000000006</v>
      </c>
      <c r="M13" s="163">
        <f t="shared" ref="M13:M22" si="1">F13/$C$38</f>
        <v>3.021187622634701</v>
      </c>
    </row>
    <row r="14" spans="1:13" x14ac:dyDescent="0.35">
      <c r="A14" s="29">
        <f t="shared" si="0"/>
        <v>3</v>
      </c>
      <c r="B14" s="30" t="str">
        <f>'EST SITE'!B55</f>
        <v>02-00-02 Earthwork</v>
      </c>
      <c r="D14" s="31">
        <f>'EST SITE'!F79</f>
        <v>210524.56</v>
      </c>
      <c r="E14" s="31">
        <f>'EST SITE'!H79</f>
        <v>790635.84000000008</v>
      </c>
      <c r="F14" s="32">
        <f>'EST SITE'!J79</f>
        <v>1001160.4</v>
      </c>
      <c r="M14" s="163">
        <f t="shared" si="1"/>
        <v>4.5159358578226847</v>
      </c>
    </row>
    <row r="15" spans="1:13" x14ac:dyDescent="0.35">
      <c r="A15" s="29">
        <f t="shared" si="0"/>
        <v>4</v>
      </c>
      <c r="B15" s="30" t="str">
        <f>'EST SITE'!B81</f>
        <v>02-00-03 Pavements</v>
      </c>
      <c r="D15" s="31">
        <f>'EST SITE'!F115</f>
        <v>931689.29900000012</v>
      </c>
      <c r="E15" s="31">
        <f>'EST SITE'!H115</f>
        <v>770566.21349999984</v>
      </c>
      <c r="F15" s="32">
        <f>'EST SITE'!J115</f>
        <v>1702255.5125</v>
      </c>
      <c r="M15" s="163">
        <f t="shared" si="1"/>
        <v>7.6783667313200565</v>
      </c>
    </row>
    <row r="16" spans="1:13" x14ac:dyDescent="0.35">
      <c r="A16" s="29">
        <f t="shared" si="0"/>
        <v>5</v>
      </c>
      <c r="B16" s="30" t="str">
        <f>'EST SITE'!B117</f>
        <v>02-00-04 Site Features</v>
      </c>
      <c r="D16" s="31">
        <f>'EST SITE'!F178</f>
        <v>400253.25847333338</v>
      </c>
      <c r="E16" s="31">
        <f>'EST SITE'!H178</f>
        <v>588787.04471000005</v>
      </c>
      <c r="F16" s="32">
        <f>'EST SITE'!J178</f>
        <v>989040.30318333337</v>
      </c>
      <c r="M16" s="163">
        <f t="shared" si="1"/>
        <v>4.4612657172391499</v>
      </c>
    </row>
    <row r="17" spans="1:13" x14ac:dyDescent="0.35">
      <c r="A17" s="29">
        <f t="shared" si="0"/>
        <v>6</v>
      </c>
      <c r="B17" s="30" t="str">
        <f>'EST SITE'!B180</f>
        <v>02-00-05 Concrete Walks</v>
      </c>
      <c r="D17" s="31">
        <f>'EST SITE'!F183</f>
        <v>0</v>
      </c>
      <c r="E17" s="31">
        <f>'EST SITE'!H183</f>
        <v>0</v>
      </c>
      <c r="F17" s="32">
        <f>'EST SITE'!J183</f>
        <v>0</v>
      </c>
      <c r="M17" s="163">
        <f t="shared" si="1"/>
        <v>0</v>
      </c>
    </row>
    <row r="18" spans="1:13" x14ac:dyDescent="0.35">
      <c r="A18" s="29">
        <f t="shared" si="0"/>
        <v>7</v>
      </c>
      <c r="B18" s="30" t="str">
        <f>'EST SITE'!B185</f>
        <v>02-00-06 Utilities-Plumbing</v>
      </c>
      <c r="D18" s="31">
        <f>'EST SITE'!F264</f>
        <v>642827.72600000002</v>
      </c>
      <c r="E18" s="31">
        <f>'EST SITE'!H264</f>
        <v>595424.70874999987</v>
      </c>
      <c r="F18" s="32">
        <f>'EST SITE'!J264</f>
        <v>1238252.43475</v>
      </c>
      <c r="M18" s="163">
        <f t="shared" si="1"/>
        <v>5.5853872877151041</v>
      </c>
    </row>
    <row r="19" spans="1:13" x14ac:dyDescent="0.35">
      <c r="A19" s="29">
        <f t="shared" si="0"/>
        <v>8</v>
      </c>
      <c r="B19" s="30" t="str">
        <f>'EST SITE'!B266</f>
        <v>02-00-07 Utilities- Heating/Cooling</v>
      </c>
      <c r="D19" s="31">
        <f>'EST SITE'!F269</f>
        <v>0</v>
      </c>
      <c r="E19" s="31">
        <f>'EST SITE'!H269</f>
        <v>0</v>
      </c>
      <c r="F19" s="32">
        <f>'EST SITE'!J269</f>
        <v>0</v>
      </c>
      <c r="M19" s="163">
        <f t="shared" si="1"/>
        <v>0</v>
      </c>
    </row>
    <row r="20" spans="1:13" x14ac:dyDescent="0.35">
      <c r="A20" s="29">
        <f t="shared" si="0"/>
        <v>9</v>
      </c>
      <c r="B20" s="30" t="str">
        <f>'EST SITE'!B271</f>
        <v>02-00-08 Utilities- Electrical</v>
      </c>
      <c r="D20" s="31">
        <f>'EST SITE'!F375</f>
        <v>519224.4381390668</v>
      </c>
      <c r="E20" s="31">
        <f>'EST SITE'!H375</f>
        <v>537019.30559465569</v>
      </c>
      <c r="F20" s="32">
        <f>'EST SITE'!J375</f>
        <v>1056243.7437337227</v>
      </c>
      <c r="M20" s="163">
        <f t="shared" si="1"/>
        <v>4.7644003867192435</v>
      </c>
    </row>
    <row r="21" spans="1:13" x14ac:dyDescent="0.35">
      <c r="A21" s="29">
        <f t="shared" si="0"/>
        <v>10</v>
      </c>
      <c r="B21" s="30" t="str">
        <f>'EST SITE'!B377</f>
        <v>02-00-09 Planting</v>
      </c>
      <c r="D21" s="31">
        <f>'EST SITE'!F416</f>
        <v>128081.24050000001</v>
      </c>
      <c r="E21" s="31">
        <f>'EST SITE'!H416</f>
        <v>193213.38350000003</v>
      </c>
      <c r="F21" s="32">
        <f>'EST SITE'!J416</f>
        <v>321294.62400000001</v>
      </c>
      <c r="M21" s="163">
        <f t="shared" si="1"/>
        <v>1.4492641872843322</v>
      </c>
    </row>
    <row r="22" spans="1:13" x14ac:dyDescent="0.35">
      <c r="A22" s="29">
        <f t="shared" si="0"/>
        <v>11</v>
      </c>
      <c r="B22" s="30" t="str">
        <f>'EST SITE'!B418</f>
        <v>02-00-10 Abatement</v>
      </c>
      <c r="D22" s="31">
        <f>'EST SITE'!F422</f>
        <v>20964.434999999998</v>
      </c>
      <c r="E22" s="31">
        <f>'EST SITE'!H422</f>
        <v>83857.739999999991</v>
      </c>
      <c r="F22" s="32">
        <f>'EST SITE'!J422</f>
        <v>104822.17499999999</v>
      </c>
      <c r="M22" s="163">
        <f t="shared" si="1"/>
        <v>0.4728215566431358</v>
      </c>
    </row>
    <row r="23" spans="1:13" x14ac:dyDescent="0.35">
      <c r="A23" s="29">
        <f t="shared" si="0"/>
        <v>12</v>
      </c>
      <c r="B23" s="30"/>
      <c r="D23" s="171" t="s">
        <v>6</v>
      </c>
      <c r="E23" s="171" t="s">
        <v>6</v>
      </c>
      <c r="F23" s="33" t="s">
        <v>6</v>
      </c>
    </row>
    <row r="24" spans="1:13" x14ac:dyDescent="0.35">
      <c r="A24" s="29">
        <f t="shared" si="0"/>
        <v>13</v>
      </c>
      <c r="B24" s="34" t="s">
        <v>32</v>
      </c>
      <c r="C24" s="66"/>
      <c r="D24" s="32">
        <f>SUM(D10:D23)</f>
        <v>3338950.4094236409</v>
      </c>
      <c r="E24" s="32">
        <f>SUM(E10:E23)</f>
        <v>4452186.1120601213</v>
      </c>
      <c r="F24" s="32">
        <f>SUM(F10:F23)</f>
        <v>7791136.5214837613</v>
      </c>
      <c r="K24" s="70">
        <f>SUM(F13:F22)</f>
        <v>7082851.3831670554</v>
      </c>
    </row>
    <row r="25" spans="1:13" x14ac:dyDescent="0.35">
      <c r="A25" s="29">
        <f t="shared" si="0"/>
        <v>14</v>
      </c>
      <c r="B25" s="30" t="s">
        <v>63</v>
      </c>
      <c r="C25" s="67">
        <f>[1]BOE!F76</f>
        <v>0.08</v>
      </c>
      <c r="D25" s="32">
        <f>D24*$C$25</f>
        <v>267116.03275389125</v>
      </c>
      <c r="E25" s="32">
        <f>E24*$C$25</f>
        <v>356174.88896480971</v>
      </c>
      <c r="F25" s="32">
        <f>F24*$C$25</f>
        <v>623290.92171870091</v>
      </c>
    </row>
    <row r="26" spans="1:13" x14ac:dyDescent="0.35">
      <c r="A26" s="29">
        <f t="shared" si="0"/>
        <v>15</v>
      </c>
      <c r="C26" s="67"/>
      <c r="D26" s="33" t="s">
        <v>6</v>
      </c>
      <c r="E26" s="33" t="s">
        <v>6</v>
      </c>
      <c r="F26" s="33" t="s">
        <v>6</v>
      </c>
    </row>
    <row r="27" spans="1:13" x14ac:dyDescent="0.35">
      <c r="A27" s="29">
        <f t="shared" si="0"/>
        <v>16</v>
      </c>
      <c r="B27" s="34" t="s">
        <v>33</v>
      </c>
      <c r="C27" s="67"/>
      <c r="D27" s="32">
        <f>SUM(D24:D26)</f>
        <v>3606066.4421775322</v>
      </c>
      <c r="E27" s="32">
        <f>SUM(E24:E26)</f>
        <v>4808361.0010249307</v>
      </c>
      <c r="F27" s="32">
        <f>SUM(F24:F26)</f>
        <v>8414427.443202462</v>
      </c>
    </row>
    <row r="28" spans="1:13" x14ac:dyDescent="0.35">
      <c r="A28" s="29">
        <f t="shared" si="0"/>
        <v>17</v>
      </c>
      <c r="B28" s="30" t="s">
        <v>28</v>
      </c>
      <c r="C28" s="67">
        <f>[1]BOE!F77</f>
        <v>0</v>
      </c>
      <c r="D28" s="32">
        <f>D27*$C$28</f>
        <v>0</v>
      </c>
      <c r="E28" s="32">
        <f>E27*$C$28</f>
        <v>0</v>
      </c>
      <c r="F28" s="32">
        <f>F27*$C$28</f>
        <v>0</v>
      </c>
    </row>
    <row r="29" spans="1:13" x14ac:dyDescent="0.35">
      <c r="A29" s="29">
        <f t="shared" si="0"/>
        <v>18</v>
      </c>
      <c r="C29" s="67"/>
      <c r="D29" s="33" t="s">
        <v>6</v>
      </c>
      <c r="E29" s="33" t="s">
        <v>6</v>
      </c>
      <c r="F29" s="33" t="s">
        <v>6</v>
      </c>
    </row>
    <row r="30" spans="1:13" x14ac:dyDescent="0.35">
      <c r="A30" s="29">
        <f t="shared" si="0"/>
        <v>19</v>
      </c>
      <c r="B30" s="34" t="s">
        <v>34</v>
      </c>
      <c r="C30" s="66"/>
      <c r="D30" s="32">
        <f>SUM(D27:D29)</f>
        <v>3606066.4421775322</v>
      </c>
      <c r="E30" s="32">
        <f>SUM(E27:E29)</f>
        <v>4808361.0010249307</v>
      </c>
      <c r="F30" s="32">
        <f>SUM(F27:F29)</f>
        <v>8414427.443202462</v>
      </c>
    </row>
    <row r="31" spans="1:13" x14ac:dyDescent="0.35">
      <c r="A31" s="29">
        <f t="shared" si="0"/>
        <v>20</v>
      </c>
      <c r="B31" s="30" t="s">
        <v>62</v>
      </c>
      <c r="C31" s="67">
        <f>[1]BOE!F79</f>
        <v>8.4375000000000006E-2</v>
      </c>
      <c r="D31" s="32">
        <f>D30*$C$31</f>
        <v>304261.85605872929</v>
      </c>
      <c r="E31" s="32">
        <f>E30*$C$31</f>
        <v>405705.45946147857</v>
      </c>
      <c r="F31" s="32">
        <f>F30*$C$31</f>
        <v>709967.31552020775</v>
      </c>
    </row>
    <row r="32" spans="1:13" x14ac:dyDescent="0.35">
      <c r="A32" s="29">
        <f t="shared" si="0"/>
        <v>21</v>
      </c>
      <c r="C32" s="66"/>
      <c r="D32" s="33" t="s">
        <v>6</v>
      </c>
      <c r="E32" s="33" t="s">
        <v>6</v>
      </c>
      <c r="F32" s="33" t="s">
        <v>6</v>
      </c>
    </row>
    <row r="33" spans="1:12" ht="13.9" x14ac:dyDescent="0.4">
      <c r="A33" s="59">
        <f t="shared" si="0"/>
        <v>22</v>
      </c>
      <c r="B33" s="60" t="s">
        <v>35</v>
      </c>
      <c r="C33" s="68"/>
      <c r="D33" s="61">
        <f>SUM(D30:D32)</f>
        <v>3910328.2982362616</v>
      </c>
      <c r="E33" s="61">
        <f>SUM(E30:E32)</f>
        <v>5214066.4604864093</v>
      </c>
      <c r="F33" s="61">
        <f>SUM(F30:F32)</f>
        <v>9124394.7587226704</v>
      </c>
    </row>
    <row r="34" spans="1:12" x14ac:dyDescent="0.35">
      <c r="A34" s="29">
        <f t="shared" si="0"/>
        <v>23</v>
      </c>
      <c r="B34" s="30" t="s">
        <v>80</v>
      </c>
      <c r="C34" s="67">
        <v>0.05</v>
      </c>
      <c r="D34" s="32">
        <f>D33*$C$34</f>
        <v>195516.4149118131</v>
      </c>
      <c r="E34" s="32">
        <f>E33*$C$34</f>
        <v>260703.32302432047</v>
      </c>
      <c r="F34" s="32">
        <f>F33*$C$34</f>
        <v>456219.73793613352</v>
      </c>
      <c r="L34" s="2">
        <f>1.1*1.08*1.1*1.05</f>
        <v>1.3721400000000004</v>
      </c>
    </row>
    <row r="35" spans="1:12" x14ac:dyDescent="0.35">
      <c r="A35" s="29">
        <f t="shared" si="0"/>
        <v>24</v>
      </c>
      <c r="C35" s="66"/>
      <c r="D35" s="33" t="s">
        <v>6</v>
      </c>
      <c r="E35" s="33" t="s">
        <v>6</v>
      </c>
      <c r="F35" s="33" t="s">
        <v>6</v>
      </c>
    </row>
    <row r="36" spans="1:12" ht="13.9" thickBot="1" x14ac:dyDescent="0.4">
      <c r="A36" s="36">
        <f t="shared" si="0"/>
        <v>25</v>
      </c>
      <c r="B36" s="26" t="s">
        <v>81</v>
      </c>
      <c r="C36" s="25"/>
      <c r="D36" s="37">
        <f>SUM(D33:D35)</f>
        <v>4105844.7131480747</v>
      </c>
      <c r="E36" s="37">
        <f>SUM(E33:E35)</f>
        <v>5474769.7835107297</v>
      </c>
      <c r="F36" s="37">
        <f>SUM(F33:F35)</f>
        <v>9580614.4966588039</v>
      </c>
      <c r="J36" s="2">
        <f>F36/F24</f>
        <v>1.2296812500000001</v>
      </c>
      <c r="K36" s="2">
        <f>F36/K24*0.1</f>
        <v>0.13526493750000002</v>
      </c>
    </row>
    <row r="38" spans="1:12" x14ac:dyDescent="0.35">
      <c r="B38" s="2" t="s">
        <v>74</v>
      </c>
      <c r="C38" s="69">
        <v>221695</v>
      </c>
    </row>
    <row r="39" spans="1:12" x14ac:dyDescent="0.35">
      <c r="B39" s="49" t="s">
        <v>83</v>
      </c>
      <c r="C39" s="49"/>
      <c r="D39" s="72">
        <f>D33/$C$38</f>
        <v>17.638324266385176</v>
      </c>
      <c r="E39" s="72">
        <f>E33/$C$38</f>
        <v>23.519098132508219</v>
      </c>
      <c r="F39" s="72">
        <f>F33/$C$38</f>
        <v>41.157422398893388</v>
      </c>
    </row>
    <row r="40" spans="1:12" x14ac:dyDescent="0.35">
      <c r="B40" s="2" t="s">
        <v>82</v>
      </c>
      <c r="D40" s="70">
        <f>D36/$C$38</f>
        <v>18.520240479704434</v>
      </c>
      <c r="E40" s="70">
        <f>E36/$C$38</f>
        <v>24.695053039133629</v>
      </c>
      <c r="F40" s="70">
        <f>F36/$C$38</f>
        <v>43.21529351883806</v>
      </c>
    </row>
  </sheetData>
  <mergeCells count="1">
    <mergeCell ref="A8:F8"/>
  </mergeCells>
  <pageMargins left="0.7" right="0.7" top="0.75" bottom="0.75" header="0.3" footer="0.3"/>
  <pageSetup scale="80" orientation="portrait" r:id="rId1"/>
  <headerFooter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7205-512E-402F-AC28-9077B280AB3D}">
  <sheetPr transitionEvaluation="1" transitionEntry="1"/>
  <dimension ref="A4:U429"/>
  <sheetViews>
    <sheetView tabSelected="1" view="pageBreakPreview" topLeftCell="A279" zoomScaleNormal="85" zoomScaleSheetLayoutView="100" workbookViewId="0">
      <selection activeCell="A25" sqref="A25"/>
    </sheetView>
  </sheetViews>
  <sheetFormatPr defaultColWidth="9.1328125" defaultRowHeight="13.5" x14ac:dyDescent="0.35"/>
  <cols>
    <col min="1" max="1" width="5.46484375" style="166" bestFit="1" customWidth="1"/>
    <col min="2" max="2" width="58.6640625" style="2" bestFit="1" customWidth="1"/>
    <col min="3" max="3" width="12.1328125" style="7" bestFit="1" customWidth="1"/>
    <col min="4" max="4" width="8" style="3" customWidth="1"/>
    <col min="5" max="5" width="14.1328125" style="16" bestFit="1" customWidth="1"/>
    <col min="6" max="6" width="16.33203125" style="16" bestFit="1" customWidth="1"/>
    <col min="7" max="7" width="12.46484375" style="16" bestFit="1" customWidth="1"/>
    <col min="8" max="8" width="15.33203125" style="16" bestFit="1" customWidth="1"/>
    <col min="9" max="9" width="13.33203125" style="8" customWidth="1"/>
    <col min="10" max="10" width="14.1328125" style="2" bestFit="1" customWidth="1"/>
    <col min="11" max="11" width="2.33203125" style="2" customWidth="1"/>
    <col min="12" max="12" width="10.46484375" style="8" bestFit="1" customWidth="1"/>
    <col min="13" max="13" width="14.1328125" style="16" bestFit="1" customWidth="1"/>
    <col min="14" max="14" width="12.46484375" style="16" bestFit="1" customWidth="1"/>
    <col min="15" max="15" width="8.19921875" style="2" bestFit="1" customWidth="1"/>
    <col min="16" max="16" width="6.53125" style="2" bestFit="1" customWidth="1"/>
    <col min="17" max="17" width="10.53125" style="2" bestFit="1" customWidth="1"/>
    <col min="18" max="16384" width="9.1328125" style="2"/>
  </cols>
  <sheetData>
    <row r="4" spans="1:14" x14ac:dyDescent="0.35">
      <c r="B4" s="2" t="str">
        <f>EST!B4</f>
        <v>COLLEGE OF TECHNOLOGY AT FARMINGDALE</v>
      </c>
    </row>
    <row r="5" spans="1:14" x14ac:dyDescent="0.35">
      <c r="B5" s="2" t="str">
        <f>EST!B5</f>
        <v>Farmingdale, New York</v>
      </c>
    </row>
    <row r="6" spans="1:14" ht="13.9" x14ac:dyDescent="0.4">
      <c r="B6" s="21" t="str">
        <f>EST!B6</f>
        <v>Concept Estimate</v>
      </c>
      <c r="J6" s="4">
        <f>TITLE!A24</f>
        <v>44263</v>
      </c>
      <c r="M6" s="172">
        <f>3.75*2</f>
        <v>7.5</v>
      </c>
    </row>
    <row r="8" spans="1:14" x14ac:dyDescent="0.35">
      <c r="B8" s="2" t="str">
        <f>EST!B8</f>
        <v>NET ZERO CARBON STUDY</v>
      </c>
      <c r="I8" s="16"/>
      <c r="J8" s="16"/>
      <c r="M8" s="173">
        <v>1.075</v>
      </c>
      <c r="N8" s="174">
        <v>1.075</v>
      </c>
    </row>
    <row r="9" spans="1:14" ht="13.9" thickBot="1" x14ac:dyDescent="0.4">
      <c r="M9" s="175" t="s">
        <v>475</v>
      </c>
    </row>
    <row r="10" spans="1:14" ht="15" customHeight="1" x14ac:dyDescent="0.35">
      <c r="A10" s="303"/>
      <c r="B10" s="305" t="s">
        <v>4</v>
      </c>
      <c r="C10" s="307" t="s">
        <v>79</v>
      </c>
      <c r="D10" s="305" t="s">
        <v>7</v>
      </c>
      <c r="E10" s="302" t="s">
        <v>473</v>
      </c>
      <c r="F10" s="302"/>
      <c r="G10" s="302" t="s">
        <v>474</v>
      </c>
      <c r="H10" s="302"/>
      <c r="I10" s="302" t="s">
        <v>455</v>
      </c>
      <c r="J10" s="302" t="s">
        <v>5</v>
      </c>
      <c r="M10" s="8" t="s">
        <v>473</v>
      </c>
      <c r="N10" s="2" t="s">
        <v>474</v>
      </c>
    </row>
    <row r="11" spans="1:14" ht="13.9" thickBot="1" x14ac:dyDescent="0.4">
      <c r="A11" s="304"/>
      <c r="B11" s="306"/>
      <c r="C11" s="308"/>
      <c r="D11" s="306"/>
      <c r="E11" s="24" t="s">
        <v>476</v>
      </c>
      <c r="F11" s="24" t="s">
        <v>5</v>
      </c>
      <c r="G11" s="24" t="s">
        <v>476</v>
      </c>
      <c r="H11" s="24" t="s">
        <v>5</v>
      </c>
      <c r="I11" s="24" t="s">
        <v>476</v>
      </c>
      <c r="J11" s="24" t="s">
        <v>5</v>
      </c>
      <c r="M11" s="24" t="s">
        <v>476</v>
      </c>
      <c r="N11" s="24" t="s">
        <v>476</v>
      </c>
    </row>
    <row r="12" spans="1:14" x14ac:dyDescent="0.35">
      <c r="A12" s="167">
        <f>ROW()-11</f>
        <v>1</v>
      </c>
      <c r="B12" s="9"/>
      <c r="C12" s="11"/>
      <c r="D12" s="10"/>
      <c r="E12" s="17"/>
      <c r="F12" s="17"/>
      <c r="G12" s="17"/>
      <c r="H12" s="17"/>
      <c r="I12" s="73"/>
      <c r="J12" s="23"/>
      <c r="M12" s="17"/>
      <c r="N12" s="17"/>
    </row>
    <row r="13" spans="1:14" x14ac:dyDescent="0.35">
      <c r="A13" s="168">
        <f t="shared" ref="A13:A222" si="0">ROW()-11</f>
        <v>2</v>
      </c>
      <c r="B13" s="62" t="s">
        <v>37</v>
      </c>
      <c r="C13" s="65"/>
      <c r="D13" s="63"/>
      <c r="E13" s="64"/>
      <c r="F13" s="64"/>
      <c r="G13" s="64"/>
      <c r="H13" s="64"/>
      <c r="I13" s="74"/>
      <c r="J13" s="42"/>
      <c r="M13" s="64"/>
      <c r="N13" s="64"/>
    </row>
    <row r="14" spans="1:14" x14ac:dyDescent="0.35">
      <c r="A14" s="169">
        <f t="shared" si="0"/>
        <v>3</v>
      </c>
      <c r="B14" s="9"/>
      <c r="C14" s="11"/>
      <c r="D14" s="10"/>
      <c r="E14" s="17"/>
      <c r="F14" s="17"/>
      <c r="G14" s="17"/>
      <c r="H14" s="17"/>
      <c r="I14" s="73"/>
      <c r="J14" s="18"/>
      <c r="M14" s="17"/>
      <c r="N14" s="17"/>
    </row>
    <row r="15" spans="1:14" x14ac:dyDescent="0.35">
      <c r="A15" s="169">
        <f t="shared" si="0"/>
        <v>4</v>
      </c>
      <c r="B15" s="13" t="s">
        <v>64</v>
      </c>
      <c r="C15" s="11">
        <v>1</v>
      </c>
      <c r="D15" s="10" t="s">
        <v>31</v>
      </c>
      <c r="E15" s="17">
        <f>SUM(F19:F424)/2*0.1</f>
        <v>303540.94631124008</v>
      </c>
      <c r="F15" s="19">
        <f>E15*$C15</f>
        <v>303540.94631124008</v>
      </c>
      <c r="G15" s="17">
        <f>SUM(H19:H424)/2*0.1</f>
        <v>404744.19200546551</v>
      </c>
      <c r="H15" s="19">
        <f>G15*$C15</f>
        <v>404744.19200546551</v>
      </c>
      <c r="I15" s="17">
        <f>E15+G15</f>
        <v>708285.13831670559</v>
      </c>
      <c r="J15" s="15">
        <f>I15*$C15</f>
        <v>708285.13831670559</v>
      </c>
      <c r="M15" s="17"/>
      <c r="N15" s="17"/>
    </row>
    <row r="16" spans="1:14" x14ac:dyDescent="0.35">
      <c r="A16" s="169">
        <f t="shared" si="0"/>
        <v>5</v>
      </c>
      <c r="B16" s="9"/>
      <c r="C16" s="11"/>
      <c r="D16" s="10"/>
      <c r="E16" s="17"/>
      <c r="F16" s="20" t="s">
        <v>6</v>
      </c>
      <c r="G16" s="17"/>
      <c r="H16" s="20" t="s">
        <v>6</v>
      </c>
      <c r="I16" s="73"/>
      <c r="J16" s="20" t="s">
        <v>6</v>
      </c>
      <c r="M16" s="17"/>
      <c r="N16" s="17"/>
    </row>
    <row r="17" spans="1:16" x14ac:dyDescent="0.35">
      <c r="A17" s="169">
        <f t="shared" si="0"/>
        <v>6</v>
      </c>
      <c r="B17" s="13" t="str">
        <f>"Subtotal " &amp; B13</f>
        <v>Subtotal 01-00-00 General Requirements</v>
      </c>
      <c r="C17" s="11"/>
      <c r="D17" s="10"/>
      <c r="E17" s="17"/>
      <c r="F17" s="15">
        <f>SUM(F13:F16)</f>
        <v>303540.94631124008</v>
      </c>
      <c r="G17" s="17"/>
      <c r="H17" s="15">
        <f>SUM(H13:H16)</f>
        <v>404744.19200546551</v>
      </c>
      <c r="I17" s="73"/>
      <c r="J17" s="15">
        <f>SUM(J13:J16)</f>
        <v>708285.13831670559</v>
      </c>
      <c r="M17" s="17"/>
      <c r="N17" s="17"/>
    </row>
    <row r="18" spans="1:16" x14ac:dyDescent="0.35">
      <c r="A18" s="169">
        <f t="shared" si="0"/>
        <v>7</v>
      </c>
      <c r="B18" s="13"/>
      <c r="C18" s="11"/>
      <c r="D18" s="10"/>
      <c r="E18" s="17"/>
      <c r="F18" s="15"/>
      <c r="G18" s="17"/>
      <c r="H18" s="15"/>
      <c r="I18" s="73"/>
      <c r="J18" s="15"/>
      <c r="M18" s="17"/>
      <c r="N18" s="17"/>
    </row>
    <row r="19" spans="1:16" x14ac:dyDescent="0.35">
      <c r="A19" s="169">
        <f t="shared" si="0"/>
        <v>8</v>
      </c>
      <c r="B19" s="62" t="s">
        <v>477</v>
      </c>
      <c r="C19" s="65"/>
      <c r="D19" s="63"/>
      <c r="E19" s="64"/>
      <c r="F19" s="64"/>
      <c r="G19" s="64"/>
      <c r="H19" s="64"/>
      <c r="I19" s="74"/>
      <c r="J19" s="42"/>
      <c r="M19" s="64"/>
      <c r="N19" s="64"/>
    </row>
    <row r="20" spans="1:16" x14ac:dyDescent="0.35">
      <c r="A20" s="169">
        <f t="shared" si="0"/>
        <v>9</v>
      </c>
      <c r="B20" s="9"/>
      <c r="C20" s="11"/>
      <c r="D20" s="10"/>
      <c r="E20" s="17"/>
      <c r="F20" s="17"/>
      <c r="G20" s="17"/>
      <c r="H20" s="17"/>
      <c r="I20" s="73"/>
      <c r="J20" s="18"/>
      <c r="M20" s="17"/>
      <c r="N20" s="17"/>
    </row>
    <row r="21" spans="1:16" s="182" customFormat="1" ht="27" x14ac:dyDescent="0.4">
      <c r="A21" s="169">
        <f t="shared" si="0"/>
        <v>10</v>
      </c>
      <c r="B21" s="122" t="s">
        <v>478</v>
      </c>
      <c r="C21" s="123">
        <v>25040</v>
      </c>
      <c r="D21" s="176" t="s">
        <v>89</v>
      </c>
      <c r="E21" s="177">
        <f>M21*$M$8</f>
        <v>5.9124999999999996</v>
      </c>
      <c r="F21" s="178">
        <f>C21*E21</f>
        <v>148049</v>
      </c>
      <c r="G21" s="177">
        <f>N21*$N$8</f>
        <v>10.2125</v>
      </c>
      <c r="H21" s="178">
        <f>C21*G21</f>
        <v>255721</v>
      </c>
      <c r="I21" s="177">
        <f>E21+G21</f>
        <v>16.125</v>
      </c>
      <c r="J21" s="179">
        <f>I21*C21</f>
        <v>403770</v>
      </c>
      <c r="K21" s="180"/>
      <c r="L21" s="180"/>
      <c r="M21" s="181">
        <v>5.5</v>
      </c>
      <c r="N21" s="181">
        <v>9.5</v>
      </c>
      <c r="P21" s="180"/>
    </row>
    <row r="22" spans="1:16" s="182" customFormat="1" ht="15" x14ac:dyDescent="0.4">
      <c r="A22" s="169">
        <f t="shared" si="0"/>
        <v>11</v>
      </c>
      <c r="B22" s="122"/>
      <c r="C22" s="123"/>
      <c r="D22" s="176"/>
      <c r="E22" s="177"/>
      <c r="F22" s="178">
        <f t="shared" ref="F22:F51" si="1">C22*E22</f>
        <v>0</v>
      </c>
      <c r="G22" s="177"/>
      <c r="H22" s="178">
        <f t="shared" ref="H22:H51" si="2">C22*G22</f>
        <v>0</v>
      </c>
      <c r="I22" s="177"/>
      <c r="J22" s="179"/>
      <c r="K22" s="180"/>
      <c r="L22" s="180"/>
      <c r="M22" s="181"/>
      <c r="N22" s="181"/>
      <c r="P22" s="180"/>
    </row>
    <row r="23" spans="1:16" s="182" customFormat="1" ht="15" x14ac:dyDescent="0.4">
      <c r="A23" s="169">
        <f t="shared" si="0"/>
        <v>12</v>
      </c>
      <c r="B23" s="183" t="s">
        <v>479</v>
      </c>
      <c r="C23" s="123">
        <v>59736</v>
      </c>
      <c r="D23" s="176" t="s">
        <v>89</v>
      </c>
      <c r="E23" s="177">
        <f t="shared" ref="E23:E86" si="3">M23*$M$8</f>
        <v>8.5999999999999993E-2</v>
      </c>
      <c r="F23" s="178">
        <f t="shared" si="1"/>
        <v>5137.2959999999994</v>
      </c>
      <c r="G23" s="177">
        <f t="shared" ref="G23:G86" si="4">N23*$N$8</f>
        <v>0.129</v>
      </c>
      <c r="H23" s="178">
        <f t="shared" si="2"/>
        <v>7705.9440000000004</v>
      </c>
      <c r="I23" s="177">
        <f t="shared" ref="I23:I50" si="5">E23+G23</f>
        <v>0.215</v>
      </c>
      <c r="J23" s="179">
        <f t="shared" ref="J23:J50" si="6">I23*C23</f>
        <v>12843.24</v>
      </c>
      <c r="K23" s="184"/>
      <c r="L23" s="180"/>
      <c r="M23" s="181">
        <v>0.08</v>
      </c>
      <c r="N23" s="181">
        <v>0.12000000000000001</v>
      </c>
      <c r="P23" s="180"/>
    </row>
    <row r="24" spans="1:16" s="182" customFormat="1" ht="15" x14ac:dyDescent="0.4">
      <c r="A24" s="169">
        <f t="shared" si="0"/>
        <v>13</v>
      </c>
      <c r="B24" s="183" t="s">
        <v>480</v>
      </c>
      <c r="C24" s="123"/>
      <c r="D24" s="176"/>
      <c r="E24" s="177"/>
      <c r="F24" s="178">
        <f t="shared" si="1"/>
        <v>0</v>
      </c>
      <c r="G24" s="177"/>
      <c r="H24" s="178">
        <f t="shared" si="2"/>
        <v>0</v>
      </c>
      <c r="I24" s="177"/>
      <c r="J24" s="179"/>
      <c r="K24" s="184"/>
      <c r="L24" s="180"/>
      <c r="M24" s="181"/>
      <c r="N24" s="181"/>
      <c r="P24" s="180"/>
    </row>
    <row r="25" spans="1:16" s="182" customFormat="1" ht="27" x14ac:dyDescent="0.4">
      <c r="A25" s="169">
        <f t="shared" si="0"/>
        <v>14</v>
      </c>
      <c r="B25" s="122" t="s">
        <v>481</v>
      </c>
      <c r="C25" s="123">
        <v>59736</v>
      </c>
      <c r="D25" s="176" t="s">
        <v>89</v>
      </c>
      <c r="E25" s="177">
        <f t="shared" si="3"/>
        <v>0.1075</v>
      </c>
      <c r="F25" s="178">
        <f t="shared" si="1"/>
        <v>6421.62</v>
      </c>
      <c r="G25" s="177">
        <f t="shared" si="4"/>
        <v>0.16124999999999998</v>
      </c>
      <c r="H25" s="178">
        <f t="shared" si="2"/>
        <v>9632.4299999999985</v>
      </c>
      <c r="I25" s="177">
        <f t="shared" si="5"/>
        <v>0.26874999999999999</v>
      </c>
      <c r="J25" s="179">
        <f t="shared" si="6"/>
        <v>16054.05</v>
      </c>
      <c r="K25" s="184"/>
      <c r="L25" s="180"/>
      <c r="M25" s="181">
        <v>0.1</v>
      </c>
      <c r="N25" s="181">
        <v>0.15</v>
      </c>
      <c r="P25" s="180"/>
    </row>
    <row r="26" spans="1:16" s="182" customFormat="1" ht="15" x14ac:dyDescent="0.4">
      <c r="A26" s="169">
        <f t="shared" si="0"/>
        <v>15</v>
      </c>
      <c r="B26" s="185"/>
      <c r="C26" s="123"/>
      <c r="D26" s="176"/>
      <c r="E26" s="177"/>
      <c r="F26" s="178">
        <f t="shared" si="1"/>
        <v>0</v>
      </c>
      <c r="G26" s="177"/>
      <c r="H26" s="178">
        <f t="shared" si="2"/>
        <v>0</v>
      </c>
      <c r="I26" s="177"/>
      <c r="J26" s="179"/>
      <c r="K26" s="184"/>
      <c r="L26" s="180"/>
      <c r="M26" s="181"/>
      <c r="N26" s="181"/>
      <c r="P26" s="180"/>
    </row>
    <row r="27" spans="1:16" s="182" customFormat="1" ht="15" x14ac:dyDescent="0.4">
      <c r="A27" s="169">
        <f t="shared" si="0"/>
        <v>16</v>
      </c>
      <c r="B27" s="183" t="s">
        <v>482</v>
      </c>
      <c r="C27" s="123"/>
      <c r="D27" s="176"/>
      <c r="E27" s="177"/>
      <c r="F27" s="178">
        <f t="shared" si="1"/>
        <v>0</v>
      </c>
      <c r="G27" s="177"/>
      <c r="H27" s="178">
        <f t="shared" si="2"/>
        <v>0</v>
      </c>
      <c r="I27" s="177"/>
      <c r="J27" s="179"/>
      <c r="K27" s="184"/>
      <c r="L27" s="180"/>
      <c r="M27" s="181"/>
      <c r="N27" s="181"/>
      <c r="P27" s="180"/>
    </row>
    <row r="28" spans="1:16" s="182" customFormat="1" ht="15" x14ac:dyDescent="0.4">
      <c r="A28" s="169">
        <f t="shared" si="0"/>
        <v>17</v>
      </c>
      <c r="B28" s="185" t="s">
        <v>483</v>
      </c>
      <c r="C28" s="123">
        <v>10</v>
      </c>
      <c r="D28" s="176" t="s">
        <v>290</v>
      </c>
      <c r="E28" s="177">
        <f t="shared" si="3"/>
        <v>134.375</v>
      </c>
      <c r="F28" s="178">
        <f t="shared" si="1"/>
        <v>1343.75</v>
      </c>
      <c r="G28" s="177">
        <f t="shared" si="4"/>
        <v>403.125</v>
      </c>
      <c r="H28" s="178">
        <f t="shared" si="2"/>
        <v>4031.25</v>
      </c>
      <c r="I28" s="177">
        <f t="shared" si="5"/>
        <v>537.5</v>
      </c>
      <c r="J28" s="179">
        <f t="shared" si="6"/>
        <v>5375</v>
      </c>
      <c r="K28" s="184"/>
      <c r="L28" s="180"/>
      <c r="M28" s="181">
        <v>125</v>
      </c>
      <c r="N28" s="181">
        <v>375</v>
      </c>
      <c r="P28" s="180"/>
    </row>
    <row r="29" spans="1:16" s="182" customFormat="1" ht="15" x14ac:dyDescent="0.4">
      <c r="A29" s="169">
        <f t="shared" si="0"/>
        <v>18</v>
      </c>
      <c r="B29" s="185" t="s">
        <v>484</v>
      </c>
      <c r="C29" s="123">
        <v>5</v>
      </c>
      <c r="D29" s="176" t="s">
        <v>290</v>
      </c>
      <c r="E29" s="177"/>
      <c r="F29" s="178">
        <f t="shared" si="1"/>
        <v>0</v>
      </c>
      <c r="G29" s="177">
        <f t="shared" si="4"/>
        <v>553.625</v>
      </c>
      <c r="H29" s="178">
        <f t="shared" si="2"/>
        <v>2768.125</v>
      </c>
      <c r="I29" s="177">
        <f t="shared" si="5"/>
        <v>553.625</v>
      </c>
      <c r="J29" s="179">
        <f t="shared" si="6"/>
        <v>2768.125</v>
      </c>
      <c r="K29" s="184"/>
      <c r="L29" s="180"/>
      <c r="M29" s="181">
        <v>0</v>
      </c>
      <c r="N29" s="181">
        <v>515</v>
      </c>
      <c r="P29" s="180"/>
    </row>
    <row r="30" spans="1:16" s="182" customFormat="1" ht="15" x14ac:dyDescent="0.4">
      <c r="A30" s="169">
        <f t="shared" si="0"/>
        <v>19</v>
      </c>
      <c r="B30" s="185" t="s">
        <v>485</v>
      </c>
      <c r="C30" s="123">
        <v>15</v>
      </c>
      <c r="D30" s="176" t="s">
        <v>290</v>
      </c>
      <c r="E30" s="177"/>
      <c r="F30" s="178">
        <f t="shared" si="1"/>
        <v>0</v>
      </c>
      <c r="G30" s="177">
        <f t="shared" si="4"/>
        <v>806.25</v>
      </c>
      <c r="H30" s="178">
        <f t="shared" si="2"/>
        <v>12093.75</v>
      </c>
      <c r="I30" s="177">
        <f t="shared" si="5"/>
        <v>806.25</v>
      </c>
      <c r="J30" s="179">
        <f t="shared" si="6"/>
        <v>12093.75</v>
      </c>
      <c r="K30" s="184"/>
      <c r="L30" s="180"/>
      <c r="M30" s="181">
        <v>0</v>
      </c>
      <c r="N30" s="181">
        <v>750</v>
      </c>
      <c r="P30" s="180"/>
    </row>
    <row r="31" spans="1:16" s="182" customFormat="1" ht="15" x14ac:dyDescent="0.4">
      <c r="A31" s="169">
        <f t="shared" si="0"/>
        <v>20</v>
      </c>
      <c r="B31" s="185" t="s">
        <v>486</v>
      </c>
      <c r="C31" s="123">
        <v>2</v>
      </c>
      <c r="D31" s="176" t="s">
        <v>290</v>
      </c>
      <c r="E31" s="177"/>
      <c r="F31" s="178">
        <f t="shared" si="1"/>
        <v>0</v>
      </c>
      <c r="G31" s="177">
        <f t="shared" si="4"/>
        <v>1612.5</v>
      </c>
      <c r="H31" s="178">
        <f t="shared" si="2"/>
        <v>3225</v>
      </c>
      <c r="I31" s="177">
        <f t="shared" si="5"/>
        <v>1612.5</v>
      </c>
      <c r="J31" s="179">
        <f t="shared" si="6"/>
        <v>3225</v>
      </c>
      <c r="K31" s="184"/>
      <c r="L31" s="180"/>
      <c r="M31" s="181">
        <v>0</v>
      </c>
      <c r="N31" s="181">
        <v>1500</v>
      </c>
      <c r="P31" s="180"/>
    </row>
    <row r="32" spans="1:16" s="182" customFormat="1" ht="15" x14ac:dyDescent="0.4">
      <c r="A32" s="169">
        <f t="shared" si="0"/>
        <v>21</v>
      </c>
      <c r="B32" s="185" t="s">
        <v>487</v>
      </c>
      <c r="C32" s="123">
        <v>5</v>
      </c>
      <c r="D32" s="176" t="s">
        <v>290</v>
      </c>
      <c r="E32" s="177"/>
      <c r="F32" s="178">
        <f t="shared" si="1"/>
        <v>0</v>
      </c>
      <c r="G32" s="177">
        <f t="shared" si="4"/>
        <v>1612.5</v>
      </c>
      <c r="H32" s="178">
        <f t="shared" si="2"/>
        <v>8062.5</v>
      </c>
      <c r="I32" s="177">
        <f t="shared" si="5"/>
        <v>1612.5</v>
      </c>
      <c r="J32" s="179">
        <f t="shared" si="6"/>
        <v>8062.5</v>
      </c>
      <c r="K32" s="184"/>
      <c r="L32" s="180"/>
      <c r="M32" s="181">
        <v>0</v>
      </c>
      <c r="N32" s="181">
        <v>1500</v>
      </c>
      <c r="P32" s="180"/>
    </row>
    <row r="33" spans="1:16" s="182" customFormat="1" ht="15" x14ac:dyDescent="0.4">
      <c r="A33" s="169">
        <f t="shared" si="0"/>
        <v>22</v>
      </c>
      <c r="B33" s="185"/>
      <c r="C33" s="123"/>
      <c r="D33" s="176"/>
      <c r="E33" s="177"/>
      <c r="F33" s="178">
        <f t="shared" si="1"/>
        <v>0</v>
      </c>
      <c r="G33" s="177"/>
      <c r="H33" s="178">
        <f t="shared" si="2"/>
        <v>0</v>
      </c>
      <c r="I33" s="177"/>
      <c r="J33" s="179"/>
      <c r="K33" s="184"/>
      <c r="L33" s="180"/>
      <c r="M33" s="181"/>
      <c r="N33" s="181"/>
      <c r="P33" s="180"/>
    </row>
    <row r="34" spans="1:16" s="182" customFormat="1" ht="15" x14ac:dyDescent="0.4">
      <c r="A34" s="169">
        <f t="shared" si="0"/>
        <v>23</v>
      </c>
      <c r="B34" s="183" t="s">
        <v>488</v>
      </c>
      <c r="C34" s="123"/>
      <c r="D34" s="176"/>
      <c r="E34" s="177"/>
      <c r="F34" s="178">
        <f t="shared" si="1"/>
        <v>0</v>
      </c>
      <c r="G34" s="177"/>
      <c r="H34" s="178">
        <f t="shared" si="2"/>
        <v>0</v>
      </c>
      <c r="I34" s="177"/>
      <c r="J34" s="179"/>
      <c r="K34" s="184"/>
      <c r="L34" s="180"/>
      <c r="M34" s="181"/>
      <c r="N34" s="181"/>
      <c r="P34" s="180"/>
    </row>
    <row r="35" spans="1:16" s="182" customFormat="1" ht="15" x14ac:dyDescent="0.4">
      <c r="A35" s="169">
        <f t="shared" si="0"/>
        <v>24</v>
      </c>
      <c r="B35" s="185" t="s">
        <v>489</v>
      </c>
      <c r="C35" s="123">
        <v>10</v>
      </c>
      <c r="D35" s="176" t="s">
        <v>300</v>
      </c>
      <c r="E35" s="177"/>
      <c r="F35" s="178">
        <f t="shared" si="1"/>
        <v>0</v>
      </c>
      <c r="G35" s="177">
        <f t="shared" si="4"/>
        <v>215</v>
      </c>
      <c r="H35" s="178">
        <f t="shared" si="2"/>
        <v>2150</v>
      </c>
      <c r="I35" s="177">
        <f t="shared" si="5"/>
        <v>215</v>
      </c>
      <c r="J35" s="179">
        <f t="shared" si="6"/>
        <v>2150</v>
      </c>
      <c r="K35" s="184"/>
      <c r="L35" s="180"/>
      <c r="M35" s="181">
        <v>0</v>
      </c>
      <c r="N35" s="181">
        <v>200</v>
      </c>
      <c r="P35" s="180"/>
    </row>
    <row r="36" spans="1:16" s="182" customFormat="1" ht="15" x14ac:dyDescent="0.4">
      <c r="A36" s="169">
        <f t="shared" si="0"/>
        <v>25</v>
      </c>
      <c r="B36" s="185" t="s">
        <v>490</v>
      </c>
      <c r="C36" s="123">
        <v>195</v>
      </c>
      <c r="D36" s="176" t="s">
        <v>300</v>
      </c>
      <c r="E36" s="177"/>
      <c r="F36" s="178">
        <f t="shared" si="1"/>
        <v>0</v>
      </c>
      <c r="G36" s="177">
        <f t="shared" si="4"/>
        <v>16.125</v>
      </c>
      <c r="H36" s="178">
        <f t="shared" si="2"/>
        <v>3144.375</v>
      </c>
      <c r="I36" s="177">
        <f t="shared" si="5"/>
        <v>16.125</v>
      </c>
      <c r="J36" s="179">
        <f t="shared" si="6"/>
        <v>3144.375</v>
      </c>
      <c r="K36" s="184"/>
      <c r="L36" s="180"/>
      <c r="M36" s="181">
        <v>0</v>
      </c>
      <c r="N36" s="181">
        <v>15</v>
      </c>
      <c r="P36" s="180"/>
    </row>
    <row r="37" spans="1:16" s="182" customFormat="1" ht="15" x14ac:dyDescent="0.4">
      <c r="A37" s="169">
        <f t="shared" si="0"/>
        <v>26</v>
      </c>
      <c r="B37" s="185" t="s">
        <v>491</v>
      </c>
      <c r="C37" s="123">
        <v>139</v>
      </c>
      <c r="D37" s="176" t="s">
        <v>300</v>
      </c>
      <c r="E37" s="177"/>
      <c r="F37" s="178">
        <f t="shared" si="1"/>
        <v>0</v>
      </c>
      <c r="G37" s="177">
        <f t="shared" si="4"/>
        <v>107.5</v>
      </c>
      <c r="H37" s="178">
        <f t="shared" si="2"/>
        <v>14942.5</v>
      </c>
      <c r="I37" s="177">
        <f t="shared" si="5"/>
        <v>107.5</v>
      </c>
      <c r="J37" s="179">
        <f t="shared" si="6"/>
        <v>14942.5</v>
      </c>
      <c r="K37" s="184"/>
      <c r="L37" s="180"/>
      <c r="M37" s="181">
        <v>0</v>
      </c>
      <c r="N37" s="181">
        <v>100</v>
      </c>
      <c r="P37" s="180"/>
    </row>
    <row r="38" spans="1:16" s="182" customFormat="1" ht="15" x14ac:dyDescent="0.4">
      <c r="A38" s="169">
        <f t="shared" si="0"/>
        <v>27</v>
      </c>
      <c r="B38" s="185" t="s">
        <v>492</v>
      </c>
      <c r="C38" s="123">
        <v>2451</v>
      </c>
      <c r="D38" s="176" t="s">
        <v>89</v>
      </c>
      <c r="E38" s="177"/>
      <c r="F38" s="178">
        <f t="shared" si="1"/>
        <v>0</v>
      </c>
      <c r="G38" s="177">
        <f t="shared" si="4"/>
        <v>2.6875</v>
      </c>
      <c r="H38" s="178">
        <f t="shared" si="2"/>
        <v>6587.0625</v>
      </c>
      <c r="I38" s="177">
        <f t="shared" si="5"/>
        <v>2.6875</v>
      </c>
      <c r="J38" s="179">
        <f t="shared" si="6"/>
        <v>6587.0625</v>
      </c>
      <c r="K38" s="184"/>
      <c r="L38" s="180"/>
      <c r="M38" s="181">
        <v>0</v>
      </c>
      <c r="N38" s="181">
        <v>2.5</v>
      </c>
      <c r="P38" s="180"/>
    </row>
    <row r="39" spans="1:16" s="182" customFormat="1" ht="15" x14ac:dyDescent="0.4">
      <c r="A39" s="169">
        <f t="shared" si="0"/>
        <v>28</v>
      </c>
      <c r="B39" s="185" t="s">
        <v>493</v>
      </c>
      <c r="C39" s="123">
        <v>3</v>
      </c>
      <c r="D39" s="176" t="s">
        <v>290</v>
      </c>
      <c r="E39" s="177"/>
      <c r="F39" s="178">
        <f t="shared" si="1"/>
        <v>0</v>
      </c>
      <c r="G39" s="177">
        <f t="shared" si="4"/>
        <v>107.5</v>
      </c>
      <c r="H39" s="178">
        <f t="shared" si="2"/>
        <v>322.5</v>
      </c>
      <c r="I39" s="177">
        <f t="shared" si="5"/>
        <v>107.5</v>
      </c>
      <c r="J39" s="179">
        <f t="shared" si="6"/>
        <v>322.5</v>
      </c>
      <c r="K39" s="184"/>
      <c r="L39" s="180"/>
      <c r="M39" s="181">
        <v>0</v>
      </c>
      <c r="N39" s="181">
        <v>100</v>
      </c>
      <c r="P39" s="180"/>
    </row>
    <row r="40" spans="1:16" s="182" customFormat="1" ht="15" x14ac:dyDescent="0.4">
      <c r="A40" s="169">
        <f t="shared" si="0"/>
        <v>29</v>
      </c>
      <c r="B40" s="185" t="s">
        <v>494</v>
      </c>
      <c r="C40" s="123">
        <v>554</v>
      </c>
      <c r="D40" s="176" t="s">
        <v>300</v>
      </c>
      <c r="E40" s="177"/>
      <c r="F40" s="178">
        <f t="shared" si="1"/>
        <v>0</v>
      </c>
      <c r="G40" s="177">
        <f t="shared" si="4"/>
        <v>10.75</v>
      </c>
      <c r="H40" s="178">
        <f t="shared" si="2"/>
        <v>5955.5</v>
      </c>
      <c r="I40" s="177">
        <f t="shared" si="5"/>
        <v>10.75</v>
      </c>
      <c r="J40" s="179">
        <f t="shared" si="6"/>
        <v>5955.5</v>
      </c>
      <c r="K40" s="184"/>
      <c r="L40" s="180"/>
      <c r="M40" s="181">
        <v>0</v>
      </c>
      <c r="N40" s="181">
        <v>10</v>
      </c>
      <c r="P40" s="180"/>
    </row>
    <row r="41" spans="1:16" s="182" customFormat="1" ht="15" x14ac:dyDescent="0.4">
      <c r="A41" s="169">
        <f t="shared" si="0"/>
        <v>30</v>
      </c>
      <c r="B41" s="185"/>
      <c r="C41" s="123"/>
      <c r="D41" s="176"/>
      <c r="E41" s="177"/>
      <c r="F41" s="178">
        <f t="shared" si="1"/>
        <v>0</v>
      </c>
      <c r="G41" s="177"/>
      <c r="H41" s="178">
        <f t="shared" si="2"/>
        <v>0</v>
      </c>
      <c r="I41" s="177"/>
      <c r="J41" s="179"/>
      <c r="K41" s="184"/>
      <c r="L41" s="180"/>
      <c r="M41" s="181"/>
      <c r="N41" s="181"/>
      <c r="P41" s="180"/>
    </row>
    <row r="42" spans="1:16" s="182" customFormat="1" ht="15" x14ac:dyDescent="0.4">
      <c r="A42" s="169">
        <f t="shared" si="0"/>
        <v>31</v>
      </c>
      <c r="B42" s="183" t="s">
        <v>495</v>
      </c>
      <c r="C42" s="123"/>
      <c r="D42" s="176"/>
      <c r="E42" s="177"/>
      <c r="F42" s="178">
        <f t="shared" si="1"/>
        <v>0</v>
      </c>
      <c r="G42" s="177"/>
      <c r="H42" s="178">
        <f t="shared" si="2"/>
        <v>0</v>
      </c>
      <c r="I42" s="177"/>
      <c r="J42" s="179"/>
      <c r="K42" s="184"/>
      <c r="L42" s="180"/>
      <c r="M42" s="181"/>
      <c r="N42" s="181"/>
      <c r="P42" s="180"/>
    </row>
    <row r="43" spans="1:16" s="182" customFormat="1" ht="15" x14ac:dyDescent="0.4">
      <c r="A43" s="169">
        <f t="shared" si="0"/>
        <v>32</v>
      </c>
      <c r="B43" s="185" t="s">
        <v>496</v>
      </c>
      <c r="C43" s="123">
        <v>24985</v>
      </c>
      <c r="D43" s="176" t="s">
        <v>89</v>
      </c>
      <c r="E43" s="177"/>
      <c r="F43" s="178">
        <f t="shared" si="1"/>
        <v>0</v>
      </c>
      <c r="G43" s="177">
        <f t="shared" si="4"/>
        <v>2.6875</v>
      </c>
      <c r="H43" s="178">
        <f t="shared" si="2"/>
        <v>67147.1875</v>
      </c>
      <c r="I43" s="177">
        <f t="shared" si="5"/>
        <v>2.6875</v>
      </c>
      <c r="J43" s="179">
        <f t="shared" si="6"/>
        <v>67147.1875</v>
      </c>
      <c r="K43" s="184"/>
      <c r="L43" s="180"/>
      <c r="M43" s="181">
        <v>0</v>
      </c>
      <c r="N43" s="181">
        <v>2.5</v>
      </c>
      <c r="P43" s="180"/>
    </row>
    <row r="44" spans="1:16" s="182" customFormat="1" ht="15" x14ac:dyDescent="0.4">
      <c r="A44" s="169">
        <f t="shared" si="0"/>
        <v>33</v>
      </c>
      <c r="B44" s="185" t="s">
        <v>497</v>
      </c>
      <c r="C44" s="123">
        <v>310</v>
      </c>
      <c r="D44" s="176" t="s">
        <v>300</v>
      </c>
      <c r="E44" s="177"/>
      <c r="F44" s="178">
        <f t="shared" si="1"/>
        <v>0</v>
      </c>
      <c r="G44" s="177">
        <f t="shared" si="4"/>
        <v>16.125</v>
      </c>
      <c r="H44" s="178">
        <f t="shared" si="2"/>
        <v>4998.75</v>
      </c>
      <c r="I44" s="177">
        <f t="shared" si="5"/>
        <v>16.125</v>
      </c>
      <c r="J44" s="179">
        <f t="shared" si="6"/>
        <v>4998.75</v>
      </c>
      <c r="K44" s="184"/>
      <c r="L44" s="180"/>
      <c r="M44" s="181">
        <v>0</v>
      </c>
      <c r="N44" s="181">
        <v>15</v>
      </c>
      <c r="P44" s="180"/>
    </row>
    <row r="45" spans="1:16" s="182" customFormat="1" ht="15" x14ac:dyDescent="0.4">
      <c r="A45" s="169">
        <f t="shared" si="0"/>
        <v>34</v>
      </c>
      <c r="B45" s="185" t="s">
        <v>498</v>
      </c>
      <c r="C45" s="123">
        <v>72</v>
      </c>
      <c r="D45" s="176" t="s">
        <v>300</v>
      </c>
      <c r="E45" s="177"/>
      <c r="F45" s="178">
        <f t="shared" si="1"/>
        <v>0</v>
      </c>
      <c r="G45" s="177">
        <f t="shared" si="4"/>
        <v>26.875</v>
      </c>
      <c r="H45" s="178">
        <f t="shared" si="2"/>
        <v>1935</v>
      </c>
      <c r="I45" s="177">
        <f t="shared" si="5"/>
        <v>26.875</v>
      </c>
      <c r="J45" s="179">
        <f t="shared" si="6"/>
        <v>1935</v>
      </c>
      <c r="K45" s="184"/>
      <c r="L45" s="180"/>
      <c r="M45" s="181">
        <v>0</v>
      </c>
      <c r="N45" s="181">
        <v>25</v>
      </c>
      <c r="P45" s="180"/>
    </row>
    <row r="46" spans="1:16" s="182" customFormat="1" ht="15" x14ac:dyDescent="0.4">
      <c r="A46" s="169">
        <f t="shared" si="0"/>
        <v>35</v>
      </c>
      <c r="B46" s="185" t="s">
        <v>499</v>
      </c>
      <c r="C46" s="123">
        <v>161</v>
      </c>
      <c r="D46" s="176" t="s">
        <v>300</v>
      </c>
      <c r="E46" s="177"/>
      <c r="F46" s="178">
        <f t="shared" si="1"/>
        <v>0</v>
      </c>
      <c r="G46" s="177">
        <f t="shared" si="4"/>
        <v>107.5</v>
      </c>
      <c r="H46" s="178">
        <f t="shared" si="2"/>
        <v>17307.5</v>
      </c>
      <c r="I46" s="177">
        <f t="shared" si="5"/>
        <v>107.5</v>
      </c>
      <c r="J46" s="179">
        <f t="shared" si="6"/>
        <v>17307.5</v>
      </c>
      <c r="K46" s="184"/>
      <c r="L46" s="180"/>
      <c r="M46" s="181">
        <v>0</v>
      </c>
      <c r="N46" s="181">
        <v>100</v>
      </c>
      <c r="P46" s="180"/>
    </row>
    <row r="47" spans="1:16" s="182" customFormat="1" ht="15" x14ac:dyDescent="0.4">
      <c r="A47" s="169">
        <f t="shared" si="0"/>
        <v>36</v>
      </c>
      <c r="B47" s="185" t="s">
        <v>500</v>
      </c>
      <c r="C47" s="123">
        <v>574</v>
      </c>
      <c r="D47" s="176" t="s">
        <v>300</v>
      </c>
      <c r="E47" s="177"/>
      <c r="F47" s="178">
        <f t="shared" si="1"/>
        <v>0</v>
      </c>
      <c r="G47" s="177">
        <f t="shared" si="4"/>
        <v>80.625</v>
      </c>
      <c r="H47" s="178">
        <f t="shared" si="2"/>
        <v>46278.75</v>
      </c>
      <c r="I47" s="177">
        <f t="shared" si="5"/>
        <v>80.625</v>
      </c>
      <c r="J47" s="179">
        <f t="shared" si="6"/>
        <v>46278.75</v>
      </c>
      <c r="K47" s="184"/>
      <c r="L47" s="180"/>
      <c r="M47" s="181">
        <v>0</v>
      </c>
      <c r="N47" s="181">
        <v>75</v>
      </c>
      <c r="P47" s="180"/>
    </row>
    <row r="48" spans="1:16" s="182" customFormat="1" ht="15" x14ac:dyDescent="0.4">
      <c r="A48" s="169">
        <f t="shared" si="0"/>
        <v>37</v>
      </c>
      <c r="B48" s="183" t="s">
        <v>501</v>
      </c>
      <c r="C48" s="123"/>
      <c r="D48" s="176"/>
      <c r="E48" s="177"/>
      <c r="F48" s="178">
        <f t="shared" si="1"/>
        <v>0</v>
      </c>
      <c r="G48" s="177"/>
      <c r="H48" s="178">
        <f t="shared" si="2"/>
        <v>0</v>
      </c>
      <c r="I48" s="177"/>
      <c r="J48" s="179"/>
      <c r="K48" s="184"/>
      <c r="L48" s="180"/>
      <c r="M48" s="181"/>
      <c r="N48" s="181"/>
      <c r="P48" s="180"/>
    </row>
    <row r="49" spans="1:16" s="182" customFormat="1" ht="15" x14ac:dyDescent="0.4">
      <c r="A49" s="169">
        <f t="shared" si="0"/>
        <v>38</v>
      </c>
      <c r="B49" s="183" t="s">
        <v>502</v>
      </c>
      <c r="C49" s="123"/>
      <c r="D49" s="176"/>
      <c r="E49" s="177"/>
      <c r="F49" s="178">
        <f t="shared" si="1"/>
        <v>0</v>
      </c>
      <c r="G49" s="177"/>
      <c r="H49" s="178">
        <f t="shared" si="2"/>
        <v>0</v>
      </c>
      <c r="I49" s="177"/>
      <c r="J49" s="179"/>
      <c r="K49" s="184"/>
      <c r="L49" s="180"/>
      <c r="M49" s="181"/>
      <c r="N49" s="181"/>
      <c r="P49" s="180"/>
    </row>
    <row r="50" spans="1:16" s="182" customFormat="1" ht="15" x14ac:dyDescent="0.4">
      <c r="A50" s="169">
        <f t="shared" si="0"/>
        <v>39</v>
      </c>
      <c r="B50" s="185" t="s">
        <v>503</v>
      </c>
      <c r="C50" s="123">
        <v>161960</v>
      </c>
      <c r="D50" s="176" t="s">
        <v>89</v>
      </c>
      <c r="E50" s="177">
        <f t="shared" si="3"/>
        <v>0.129</v>
      </c>
      <c r="F50" s="178">
        <f t="shared" si="1"/>
        <v>20892.84</v>
      </c>
      <c r="G50" s="177">
        <f t="shared" si="4"/>
        <v>8.6000000000000007E-2</v>
      </c>
      <c r="H50" s="178">
        <f t="shared" si="2"/>
        <v>13928.560000000001</v>
      </c>
      <c r="I50" s="177">
        <f t="shared" si="5"/>
        <v>0.21500000000000002</v>
      </c>
      <c r="J50" s="179">
        <f t="shared" si="6"/>
        <v>34821.4</v>
      </c>
      <c r="K50" s="184"/>
      <c r="L50" s="180"/>
      <c r="M50" s="181">
        <v>0.12</v>
      </c>
      <c r="N50" s="181">
        <v>8.0000000000000016E-2</v>
      </c>
      <c r="P50" s="180"/>
    </row>
    <row r="51" spans="1:16" x14ac:dyDescent="0.35">
      <c r="A51" s="169">
        <f t="shared" si="0"/>
        <v>40</v>
      </c>
      <c r="B51" s="9"/>
      <c r="C51" s="11"/>
      <c r="D51" s="10"/>
      <c r="E51" s="17"/>
      <c r="F51" s="178">
        <f t="shared" si="1"/>
        <v>0</v>
      </c>
      <c r="G51" s="17">
        <f t="shared" si="4"/>
        <v>0</v>
      </c>
      <c r="H51" s="178">
        <f t="shared" si="2"/>
        <v>0</v>
      </c>
      <c r="I51" s="177"/>
      <c r="J51" s="179"/>
      <c r="M51" s="181"/>
      <c r="N51" s="181"/>
    </row>
    <row r="52" spans="1:16" x14ac:dyDescent="0.35">
      <c r="A52" s="169">
        <f t="shared" si="0"/>
        <v>41</v>
      </c>
      <c r="B52" s="9"/>
      <c r="C52" s="11"/>
      <c r="D52" s="10"/>
      <c r="E52" s="17"/>
      <c r="F52" s="20" t="s">
        <v>6</v>
      </c>
      <c r="G52" s="17">
        <f t="shared" si="4"/>
        <v>0</v>
      </c>
      <c r="H52" s="20" t="s">
        <v>6</v>
      </c>
      <c r="I52" s="73"/>
      <c r="J52" s="20" t="s">
        <v>6</v>
      </c>
      <c r="M52" s="181"/>
      <c r="N52" s="181"/>
    </row>
    <row r="53" spans="1:16" x14ac:dyDescent="0.35">
      <c r="A53" s="169">
        <f t="shared" si="0"/>
        <v>42</v>
      </c>
      <c r="B53" s="13" t="str">
        <f>"Subtotal " &amp; B19</f>
        <v>Subtotal 02-00-01 Site Clearing</v>
      </c>
      <c r="C53" s="11"/>
      <c r="D53" s="10"/>
      <c r="E53" s="17"/>
      <c r="F53" s="15">
        <f>SUM(F19:F52)</f>
        <v>181844.50599999999</v>
      </c>
      <c r="G53" s="17">
        <f t="shared" si="4"/>
        <v>0</v>
      </c>
      <c r="H53" s="15">
        <f>SUM(H19:H52)</f>
        <v>487937.68400000001</v>
      </c>
      <c r="I53" s="73"/>
      <c r="J53" s="15">
        <f>SUM(J19:J52)</f>
        <v>669782.19000000006</v>
      </c>
      <c r="M53" s="181"/>
      <c r="N53" s="181"/>
    </row>
    <row r="54" spans="1:16" x14ac:dyDescent="0.35">
      <c r="A54" s="169">
        <f t="shared" si="0"/>
        <v>43</v>
      </c>
      <c r="B54" s="13"/>
      <c r="C54" s="11"/>
      <c r="D54" s="10"/>
      <c r="E54" s="17"/>
      <c r="F54" s="15"/>
      <c r="G54" s="17">
        <f t="shared" si="4"/>
        <v>0</v>
      </c>
      <c r="H54" s="15"/>
      <c r="I54" s="73"/>
      <c r="J54" s="15"/>
      <c r="M54" s="181"/>
      <c r="N54" s="181"/>
    </row>
    <row r="55" spans="1:16" x14ac:dyDescent="0.35">
      <c r="A55" s="169">
        <f t="shared" si="0"/>
        <v>44</v>
      </c>
      <c r="B55" s="62" t="s">
        <v>504</v>
      </c>
      <c r="C55" s="65"/>
      <c r="D55" s="63"/>
      <c r="E55" s="64"/>
      <c r="F55" s="64"/>
      <c r="G55" s="64">
        <f t="shared" si="4"/>
        <v>0</v>
      </c>
      <c r="H55" s="64"/>
      <c r="I55" s="74"/>
      <c r="J55" s="42"/>
      <c r="M55" s="181"/>
      <c r="N55" s="181"/>
    </row>
    <row r="56" spans="1:16" x14ac:dyDescent="0.35">
      <c r="A56" s="169">
        <f t="shared" si="0"/>
        <v>45</v>
      </c>
      <c r="B56" s="9"/>
      <c r="C56" s="11"/>
      <c r="D56" s="10"/>
      <c r="E56" s="17"/>
      <c r="F56" s="17"/>
      <c r="G56" s="17">
        <f t="shared" si="4"/>
        <v>0</v>
      </c>
      <c r="H56" s="17"/>
      <c r="I56" s="73"/>
      <c r="J56" s="18"/>
      <c r="M56" s="181"/>
      <c r="N56" s="181"/>
    </row>
    <row r="57" spans="1:16" s="182" customFormat="1" ht="27" x14ac:dyDescent="0.4">
      <c r="A57" s="169">
        <f t="shared" si="0"/>
        <v>46</v>
      </c>
      <c r="B57" s="122" t="s">
        <v>505</v>
      </c>
      <c r="C57" s="123">
        <v>5928</v>
      </c>
      <c r="D57" s="176" t="s">
        <v>292</v>
      </c>
      <c r="E57" s="177"/>
      <c r="F57" s="178">
        <f t="shared" ref="F57:F77" si="7">C57*E57</f>
        <v>0</v>
      </c>
      <c r="G57" s="177">
        <f t="shared" si="4"/>
        <v>21.5</v>
      </c>
      <c r="H57" s="178">
        <f t="shared" ref="H57:H77" si="8">C57*G57</f>
        <v>127452</v>
      </c>
      <c r="I57" s="177">
        <f t="shared" ref="I57" si="9">E57+G57</f>
        <v>21.5</v>
      </c>
      <c r="J57" s="179">
        <f t="shared" ref="J57" si="10">I57*C57</f>
        <v>127452</v>
      </c>
      <c r="K57" s="180"/>
      <c r="L57" s="180"/>
      <c r="M57" s="181">
        <v>0</v>
      </c>
      <c r="N57" s="181">
        <v>20</v>
      </c>
      <c r="P57" s="180"/>
    </row>
    <row r="58" spans="1:16" s="182" customFormat="1" ht="15" x14ac:dyDescent="0.4">
      <c r="A58" s="169">
        <f t="shared" si="0"/>
        <v>47</v>
      </c>
      <c r="B58" s="186"/>
      <c r="C58" s="187"/>
      <c r="D58" s="188"/>
      <c r="E58" s="189"/>
      <c r="F58" s="178">
        <f t="shared" si="7"/>
        <v>0</v>
      </c>
      <c r="G58" s="189"/>
      <c r="H58" s="178">
        <f t="shared" si="8"/>
        <v>0</v>
      </c>
      <c r="I58" s="177"/>
      <c r="J58" s="179"/>
      <c r="K58" s="180"/>
      <c r="L58" s="180"/>
      <c r="M58" s="181"/>
      <c r="N58" s="181"/>
      <c r="P58" s="180"/>
    </row>
    <row r="59" spans="1:16" s="182" customFormat="1" ht="15" x14ac:dyDescent="0.4">
      <c r="A59" s="169">
        <f t="shared" si="0"/>
        <v>48</v>
      </c>
      <c r="B59" s="152" t="s">
        <v>506</v>
      </c>
      <c r="C59" s="123">
        <v>444</v>
      </c>
      <c r="D59" s="176" t="s">
        <v>292</v>
      </c>
      <c r="E59" s="177"/>
      <c r="F59" s="178">
        <f t="shared" si="7"/>
        <v>0</v>
      </c>
      <c r="G59" s="177">
        <f t="shared" si="4"/>
        <v>21.5</v>
      </c>
      <c r="H59" s="178">
        <f t="shared" si="8"/>
        <v>9546</v>
      </c>
      <c r="I59" s="177">
        <f t="shared" ref="I59:I77" si="11">E59+G59</f>
        <v>21.5</v>
      </c>
      <c r="J59" s="179">
        <f t="shared" ref="J59:J77" si="12">I59*C59</f>
        <v>9546</v>
      </c>
      <c r="K59" s="190"/>
      <c r="L59" s="180"/>
      <c r="M59" s="181">
        <v>0</v>
      </c>
      <c r="N59" s="181">
        <v>20</v>
      </c>
      <c r="P59" s="180"/>
    </row>
    <row r="60" spans="1:16" s="182" customFormat="1" ht="15" x14ac:dyDescent="0.4">
      <c r="A60" s="169">
        <f t="shared" si="0"/>
        <v>49</v>
      </c>
      <c r="B60" s="186"/>
      <c r="C60" s="187"/>
      <c r="D60" s="188"/>
      <c r="E60" s="189"/>
      <c r="F60" s="178">
        <f t="shared" si="7"/>
        <v>0</v>
      </c>
      <c r="G60" s="189"/>
      <c r="H60" s="178">
        <f t="shared" si="8"/>
        <v>0</v>
      </c>
      <c r="I60" s="177"/>
      <c r="J60" s="179"/>
      <c r="K60" s="180"/>
      <c r="L60" s="180"/>
      <c r="M60" s="181"/>
      <c r="N60" s="181"/>
      <c r="P60" s="180"/>
    </row>
    <row r="61" spans="1:16" s="182" customFormat="1" ht="27" x14ac:dyDescent="0.4">
      <c r="A61" s="169">
        <f t="shared" si="0"/>
        <v>50</v>
      </c>
      <c r="B61" s="152" t="s">
        <v>507</v>
      </c>
      <c r="C61" s="123">
        <v>1014</v>
      </c>
      <c r="D61" s="176" t="s">
        <v>292</v>
      </c>
      <c r="E61" s="177"/>
      <c r="F61" s="178">
        <f t="shared" si="7"/>
        <v>0</v>
      </c>
      <c r="G61" s="177">
        <f t="shared" si="4"/>
        <v>21.5</v>
      </c>
      <c r="H61" s="178">
        <f t="shared" si="8"/>
        <v>21801</v>
      </c>
      <c r="I61" s="177">
        <f t="shared" si="11"/>
        <v>21.5</v>
      </c>
      <c r="J61" s="179">
        <f t="shared" si="12"/>
        <v>21801</v>
      </c>
      <c r="K61" s="180"/>
      <c r="L61" s="180"/>
      <c r="M61" s="181">
        <v>0</v>
      </c>
      <c r="N61" s="181">
        <v>20</v>
      </c>
      <c r="P61" s="180"/>
    </row>
    <row r="62" spans="1:16" s="182" customFormat="1" ht="27" x14ac:dyDescent="0.4">
      <c r="A62" s="169">
        <f t="shared" si="0"/>
        <v>51</v>
      </c>
      <c r="B62" s="152" t="s">
        <v>508</v>
      </c>
      <c r="C62" s="123">
        <v>3385</v>
      </c>
      <c r="D62" s="176" t="s">
        <v>292</v>
      </c>
      <c r="E62" s="177"/>
      <c r="F62" s="178">
        <f t="shared" si="7"/>
        <v>0</v>
      </c>
      <c r="G62" s="177">
        <f t="shared" si="4"/>
        <v>21.5</v>
      </c>
      <c r="H62" s="178">
        <f t="shared" si="8"/>
        <v>72777.5</v>
      </c>
      <c r="I62" s="177">
        <f t="shared" si="11"/>
        <v>21.5</v>
      </c>
      <c r="J62" s="179">
        <f t="shared" si="12"/>
        <v>72777.5</v>
      </c>
      <c r="K62" s="180"/>
      <c r="L62" s="180"/>
      <c r="M62" s="181">
        <v>0</v>
      </c>
      <c r="N62" s="181">
        <v>20</v>
      </c>
      <c r="P62" s="180"/>
    </row>
    <row r="63" spans="1:16" s="182" customFormat="1" ht="15" x14ac:dyDescent="0.4">
      <c r="A63" s="169">
        <f t="shared" si="0"/>
        <v>52</v>
      </c>
      <c r="B63" s="186"/>
      <c r="C63" s="187"/>
      <c r="D63" s="188"/>
      <c r="E63" s="189"/>
      <c r="F63" s="178">
        <f t="shared" si="7"/>
        <v>0</v>
      </c>
      <c r="G63" s="189"/>
      <c r="H63" s="178">
        <f t="shared" si="8"/>
        <v>0</v>
      </c>
      <c r="I63" s="177"/>
      <c r="J63" s="179"/>
      <c r="K63" s="180"/>
      <c r="L63" s="180"/>
      <c r="M63" s="181"/>
      <c r="N63" s="181"/>
      <c r="P63" s="180"/>
    </row>
    <row r="64" spans="1:16" s="182" customFormat="1" ht="27" x14ac:dyDescent="0.4">
      <c r="A64" s="169">
        <f t="shared" si="0"/>
        <v>53</v>
      </c>
      <c r="B64" s="152" t="s">
        <v>509</v>
      </c>
      <c r="C64" s="123">
        <v>508</v>
      </c>
      <c r="D64" s="176" t="s">
        <v>292</v>
      </c>
      <c r="E64" s="177"/>
      <c r="F64" s="178">
        <f t="shared" si="7"/>
        <v>0</v>
      </c>
      <c r="G64" s="177">
        <f t="shared" si="4"/>
        <v>26.875</v>
      </c>
      <c r="H64" s="178">
        <f t="shared" si="8"/>
        <v>13652.5</v>
      </c>
      <c r="I64" s="177">
        <f t="shared" si="11"/>
        <v>26.875</v>
      </c>
      <c r="J64" s="179">
        <f t="shared" si="12"/>
        <v>13652.5</v>
      </c>
      <c r="K64" s="180"/>
      <c r="L64" s="180"/>
      <c r="M64" s="181">
        <v>0</v>
      </c>
      <c r="N64" s="181">
        <v>25</v>
      </c>
      <c r="P64" s="180"/>
    </row>
    <row r="65" spans="1:16" s="182" customFormat="1" ht="15" x14ac:dyDescent="0.4">
      <c r="A65" s="169">
        <f t="shared" si="0"/>
        <v>54</v>
      </c>
      <c r="B65" s="186"/>
      <c r="C65" s="187"/>
      <c r="D65" s="188"/>
      <c r="E65" s="189"/>
      <c r="F65" s="178">
        <f t="shared" si="7"/>
        <v>0</v>
      </c>
      <c r="G65" s="189"/>
      <c r="H65" s="178">
        <f t="shared" si="8"/>
        <v>0</v>
      </c>
      <c r="I65" s="177"/>
      <c r="J65" s="179"/>
      <c r="K65" s="180"/>
      <c r="L65" s="180"/>
      <c r="M65" s="181"/>
      <c r="N65" s="181"/>
      <c r="P65" s="180"/>
    </row>
    <row r="66" spans="1:16" s="182" customFormat="1" ht="15" x14ac:dyDescent="0.4">
      <c r="A66" s="169">
        <f t="shared" si="0"/>
        <v>55</v>
      </c>
      <c r="B66" s="152" t="s">
        <v>510</v>
      </c>
      <c r="C66" s="123">
        <v>4362</v>
      </c>
      <c r="D66" s="176" t="s">
        <v>292</v>
      </c>
      <c r="E66" s="177"/>
      <c r="F66" s="178">
        <f t="shared" si="7"/>
        <v>0</v>
      </c>
      <c r="G66" s="177">
        <f t="shared" si="4"/>
        <v>21.5</v>
      </c>
      <c r="H66" s="178">
        <f t="shared" si="8"/>
        <v>93783</v>
      </c>
      <c r="I66" s="177">
        <f t="shared" si="11"/>
        <v>21.5</v>
      </c>
      <c r="J66" s="179">
        <f t="shared" si="12"/>
        <v>93783</v>
      </c>
      <c r="K66" s="180"/>
      <c r="L66" s="180"/>
      <c r="M66" s="181">
        <v>0</v>
      </c>
      <c r="N66" s="181">
        <v>20</v>
      </c>
      <c r="P66" s="180"/>
    </row>
    <row r="67" spans="1:16" s="182" customFormat="1" ht="15" x14ac:dyDescent="0.4">
      <c r="A67" s="169">
        <f t="shared" si="0"/>
        <v>56</v>
      </c>
      <c r="B67" s="186"/>
      <c r="C67" s="187"/>
      <c r="D67" s="188"/>
      <c r="E67" s="189"/>
      <c r="F67" s="178">
        <f t="shared" si="7"/>
        <v>0</v>
      </c>
      <c r="G67" s="189"/>
      <c r="H67" s="178">
        <f t="shared" si="8"/>
        <v>0</v>
      </c>
      <c r="I67" s="177"/>
      <c r="J67" s="179"/>
      <c r="K67" s="180"/>
      <c r="L67" s="180"/>
      <c r="M67" s="181"/>
      <c r="N67" s="181"/>
      <c r="P67" s="180"/>
    </row>
    <row r="68" spans="1:16" s="182" customFormat="1" ht="15" x14ac:dyDescent="0.4">
      <c r="A68" s="169">
        <f t="shared" si="0"/>
        <v>57</v>
      </c>
      <c r="B68" s="152" t="s">
        <v>511</v>
      </c>
      <c r="C68" s="123">
        <v>6918</v>
      </c>
      <c r="D68" s="176" t="s">
        <v>292</v>
      </c>
      <c r="E68" s="177"/>
      <c r="F68" s="178">
        <f t="shared" si="7"/>
        <v>0</v>
      </c>
      <c r="G68" s="177">
        <f t="shared" si="4"/>
        <v>21.5</v>
      </c>
      <c r="H68" s="178">
        <f t="shared" si="8"/>
        <v>148737</v>
      </c>
      <c r="I68" s="177">
        <f t="shared" si="11"/>
        <v>21.5</v>
      </c>
      <c r="J68" s="179">
        <f t="shared" si="12"/>
        <v>148737</v>
      </c>
      <c r="K68" s="180"/>
      <c r="L68" s="180"/>
      <c r="M68" s="181">
        <v>0</v>
      </c>
      <c r="N68" s="181">
        <v>20</v>
      </c>
      <c r="P68" s="180"/>
    </row>
    <row r="69" spans="1:16" s="182" customFormat="1" ht="15" x14ac:dyDescent="0.4">
      <c r="A69" s="169">
        <f t="shared" si="0"/>
        <v>58</v>
      </c>
      <c r="B69" s="186"/>
      <c r="C69" s="187"/>
      <c r="D69" s="188"/>
      <c r="E69" s="189"/>
      <c r="F69" s="178">
        <f t="shared" si="7"/>
        <v>0</v>
      </c>
      <c r="G69" s="189"/>
      <c r="H69" s="178">
        <f t="shared" si="8"/>
        <v>0</v>
      </c>
      <c r="I69" s="177"/>
      <c r="J69" s="179"/>
      <c r="K69" s="180"/>
      <c r="L69" s="180"/>
      <c r="M69" s="181"/>
      <c r="N69" s="181"/>
      <c r="P69" s="180"/>
    </row>
    <row r="70" spans="1:16" s="182" customFormat="1" ht="40.5" x14ac:dyDescent="0.4">
      <c r="A70" s="169">
        <f t="shared" si="0"/>
        <v>59</v>
      </c>
      <c r="B70" s="122" t="s">
        <v>512</v>
      </c>
      <c r="C70" s="123">
        <v>6500</v>
      </c>
      <c r="D70" s="176" t="s">
        <v>89</v>
      </c>
      <c r="E70" s="177">
        <f t="shared" si="3"/>
        <v>23.65</v>
      </c>
      <c r="F70" s="178">
        <f t="shared" si="7"/>
        <v>153725</v>
      </c>
      <c r="G70" s="177">
        <f t="shared" si="4"/>
        <v>35.475000000000001</v>
      </c>
      <c r="H70" s="178">
        <f t="shared" si="8"/>
        <v>230587.5</v>
      </c>
      <c r="I70" s="177">
        <f t="shared" si="11"/>
        <v>59.125</v>
      </c>
      <c r="J70" s="179">
        <f t="shared" si="12"/>
        <v>384312.5</v>
      </c>
      <c r="K70" s="180"/>
      <c r="L70" s="180"/>
      <c r="M70" s="181">
        <v>22</v>
      </c>
      <c r="N70" s="181">
        <v>33</v>
      </c>
      <c r="O70" s="191"/>
      <c r="P70" s="180"/>
    </row>
    <row r="71" spans="1:16" s="182" customFormat="1" ht="15" x14ac:dyDescent="0.4">
      <c r="A71" s="169">
        <f t="shared" si="0"/>
        <v>60</v>
      </c>
      <c r="B71" s="186"/>
      <c r="C71" s="187"/>
      <c r="D71" s="188"/>
      <c r="E71" s="189"/>
      <c r="F71" s="178">
        <f t="shared" si="7"/>
        <v>0</v>
      </c>
      <c r="G71" s="189"/>
      <c r="H71" s="178">
        <f t="shared" si="8"/>
        <v>0</v>
      </c>
      <c r="I71" s="177"/>
      <c r="J71" s="179"/>
      <c r="K71" s="180"/>
      <c r="L71" s="180"/>
      <c r="M71" s="181"/>
      <c r="N71" s="181"/>
      <c r="P71" s="180"/>
    </row>
    <row r="72" spans="1:16" s="182" customFormat="1" ht="15" x14ac:dyDescent="0.4">
      <c r="A72" s="169">
        <f t="shared" si="0"/>
        <v>61</v>
      </c>
      <c r="B72" s="152" t="s">
        <v>513</v>
      </c>
      <c r="C72" s="123">
        <v>3</v>
      </c>
      <c r="D72" s="176" t="s">
        <v>514</v>
      </c>
      <c r="E72" s="177">
        <f t="shared" si="3"/>
        <v>6020.0000000000009</v>
      </c>
      <c r="F72" s="178">
        <f t="shared" si="7"/>
        <v>18060.000000000004</v>
      </c>
      <c r="G72" s="177">
        <f t="shared" si="4"/>
        <v>4729.9999999999991</v>
      </c>
      <c r="H72" s="178">
        <f t="shared" si="8"/>
        <v>14189.999999999996</v>
      </c>
      <c r="I72" s="177">
        <f t="shared" si="11"/>
        <v>10750</v>
      </c>
      <c r="J72" s="179">
        <f t="shared" si="12"/>
        <v>32250</v>
      </c>
      <c r="K72" s="180"/>
      <c r="L72" s="180"/>
      <c r="M72" s="181">
        <v>5600.0000000000009</v>
      </c>
      <c r="N72" s="181">
        <v>4399.9999999999991</v>
      </c>
      <c r="P72" s="180"/>
    </row>
    <row r="73" spans="1:16" s="182" customFormat="1" ht="15" x14ac:dyDescent="0.4">
      <c r="A73" s="169">
        <f t="shared" si="0"/>
        <v>62</v>
      </c>
      <c r="B73" s="152"/>
      <c r="C73" s="123"/>
      <c r="D73" s="176"/>
      <c r="E73" s="177"/>
      <c r="F73" s="178">
        <f t="shared" si="7"/>
        <v>0</v>
      </c>
      <c r="G73" s="177"/>
      <c r="H73" s="178">
        <f t="shared" si="8"/>
        <v>0</v>
      </c>
      <c r="I73" s="177"/>
      <c r="J73" s="179"/>
      <c r="K73" s="180"/>
      <c r="L73" s="180"/>
      <c r="M73" s="181"/>
      <c r="N73" s="181"/>
      <c r="P73" s="180"/>
    </row>
    <row r="74" spans="1:16" s="182" customFormat="1" ht="15" x14ac:dyDescent="0.4">
      <c r="A74" s="169">
        <f t="shared" si="0"/>
        <v>63</v>
      </c>
      <c r="B74" s="192" t="s">
        <v>515</v>
      </c>
      <c r="C74" s="123"/>
      <c r="D74" s="176"/>
      <c r="E74" s="177"/>
      <c r="F74" s="178">
        <f t="shared" si="7"/>
        <v>0</v>
      </c>
      <c r="G74" s="177"/>
      <c r="H74" s="178">
        <f t="shared" si="8"/>
        <v>0</v>
      </c>
      <c r="I74" s="177"/>
      <c r="J74" s="179"/>
      <c r="K74" s="180"/>
      <c r="L74" s="180"/>
      <c r="M74" s="181"/>
      <c r="N74" s="181"/>
      <c r="P74" s="180"/>
    </row>
    <row r="75" spans="1:16" s="182" customFormat="1" ht="15" x14ac:dyDescent="0.4">
      <c r="A75" s="169">
        <f t="shared" si="0"/>
        <v>64</v>
      </c>
      <c r="B75" s="152" t="s">
        <v>516</v>
      </c>
      <c r="C75" s="123">
        <v>33068</v>
      </c>
      <c r="D75" s="176" t="s">
        <v>89</v>
      </c>
      <c r="E75" s="177">
        <f t="shared" si="3"/>
        <v>0.64499999999999991</v>
      </c>
      <c r="F75" s="178">
        <f t="shared" si="7"/>
        <v>21328.859999999997</v>
      </c>
      <c r="G75" s="177">
        <f t="shared" si="4"/>
        <v>0.96750000000000003</v>
      </c>
      <c r="H75" s="178">
        <f t="shared" si="8"/>
        <v>31993.29</v>
      </c>
      <c r="I75" s="177">
        <f t="shared" si="11"/>
        <v>1.6124999999999998</v>
      </c>
      <c r="J75" s="179">
        <f t="shared" si="12"/>
        <v>53322.149999999994</v>
      </c>
      <c r="K75" s="180"/>
      <c r="L75" s="180"/>
      <c r="M75" s="181">
        <v>0.6</v>
      </c>
      <c r="N75" s="181">
        <v>0.9</v>
      </c>
      <c r="P75" s="180"/>
    </row>
    <row r="76" spans="1:16" s="182" customFormat="1" ht="15" x14ac:dyDescent="0.4">
      <c r="A76" s="169">
        <f t="shared" si="0"/>
        <v>65</v>
      </c>
      <c r="B76" s="192" t="s">
        <v>501</v>
      </c>
      <c r="C76" s="123"/>
      <c r="D76" s="176"/>
      <c r="E76" s="177"/>
      <c r="F76" s="178">
        <f t="shared" si="7"/>
        <v>0</v>
      </c>
      <c r="G76" s="177"/>
      <c r="H76" s="178">
        <f t="shared" si="8"/>
        <v>0</v>
      </c>
      <c r="I76" s="177"/>
      <c r="J76" s="179"/>
      <c r="K76" s="180"/>
      <c r="L76" s="180"/>
      <c r="M76" s="181"/>
      <c r="N76" s="181"/>
      <c r="P76" s="180"/>
    </row>
    <row r="77" spans="1:16" s="182" customFormat="1" ht="27" x14ac:dyDescent="0.4">
      <c r="A77" s="169">
        <f t="shared" si="0"/>
        <v>66</v>
      </c>
      <c r="B77" s="152" t="s">
        <v>517</v>
      </c>
      <c r="C77" s="123">
        <v>161960</v>
      </c>
      <c r="D77" s="176" t="s">
        <v>89</v>
      </c>
      <c r="E77" s="177">
        <f t="shared" si="3"/>
        <v>0.1075</v>
      </c>
      <c r="F77" s="178">
        <f t="shared" si="7"/>
        <v>17410.7</v>
      </c>
      <c r="G77" s="177">
        <f t="shared" si="4"/>
        <v>0.16124999999999998</v>
      </c>
      <c r="H77" s="178">
        <f t="shared" si="8"/>
        <v>26116.049999999996</v>
      </c>
      <c r="I77" s="177">
        <f t="shared" si="11"/>
        <v>0.26874999999999999</v>
      </c>
      <c r="J77" s="179">
        <f t="shared" si="12"/>
        <v>43526.75</v>
      </c>
      <c r="K77" s="180"/>
      <c r="L77" s="180"/>
      <c r="M77" s="181">
        <v>0.1</v>
      </c>
      <c r="N77" s="181">
        <v>0.15</v>
      </c>
      <c r="P77" s="180"/>
    </row>
    <row r="78" spans="1:16" x14ac:dyDescent="0.35">
      <c r="A78" s="169">
        <f t="shared" si="0"/>
        <v>67</v>
      </c>
      <c r="B78" s="9"/>
      <c r="C78" s="11"/>
      <c r="D78" s="10"/>
      <c r="E78" s="17"/>
      <c r="F78" s="20" t="s">
        <v>6</v>
      </c>
      <c r="G78" s="17">
        <f t="shared" si="4"/>
        <v>0</v>
      </c>
      <c r="H78" s="20" t="s">
        <v>6</v>
      </c>
      <c r="I78" s="73"/>
      <c r="J78" s="20" t="s">
        <v>6</v>
      </c>
      <c r="M78" s="181">
        <v>0</v>
      </c>
      <c r="N78" s="181">
        <v>0</v>
      </c>
    </row>
    <row r="79" spans="1:16" x14ac:dyDescent="0.35">
      <c r="A79" s="169">
        <f t="shared" si="0"/>
        <v>68</v>
      </c>
      <c r="B79" s="13" t="str">
        <f>"Subtotal " &amp; B55</f>
        <v>Subtotal 02-00-02 Earthwork</v>
      </c>
      <c r="C79" s="11"/>
      <c r="D79" s="10"/>
      <c r="E79" s="17"/>
      <c r="F79" s="15">
        <f>SUM(F55:F78)</f>
        <v>210524.56</v>
      </c>
      <c r="G79" s="17">
        <f t="shared" si="4"/>
        <v>0</v>
      </c>
      <c r="H79" s="15">
        <f>SUM(H55:H78)</f>
        <v>790635.84000000008</v>
      </c>
      <c r="I79" s="73"/>
      <c r="J79" s="15">
        <f>SUM(J55:J78)</f>
        <v>1001160.4</v>
      </c>
      <c r="M79" s="181">
        <v>0</v>
      </c>
      <c r="N79" s="181">
        <v>0</v>
      </c>
    </row>
    <row r="80" spans="1:16" x14ac:dyDescent="0.35">
      <c r="A80" s="169">
        <f t="shared" si="0"/>
        <v>69</v>
      </c>
      <c r="B80" s="13"/>
      <c r="C80" s="11"/>
      <c r="D80" s="10"/>
      <c r="E80" s="17"/>
      <c r="F80" s="15"/>
      <c r="G80" s="17">
        <f t="shared" si="4"/>
        <v>0</v>
      </c>
      <c r="H80" s="15"/>
      <c r="I80" s="73"/>
      <c r="J80" s="15"/>
      <c r="M80" s="181">
        <v>0</v>
      </c>
      <c r="N80" s="181">
        <v>0</v>
      </c>
    </row>
    <row r="81" spans="1:16" x14ac:dyDescent="0.35">
      <c r="A81" s="169">
        <f t="shared" si="0"/>
        <v>70</v>
      </c>
      <c r="B81" s="62" t="s">
        <v>518</v>
      </c>
      <c r="C81" s="65"/>
      <c r="D81" s="63"/>
      <c r="E81" s="64"/>
      <c r="F81" s="64"/>
      <c r="G81" s="64">
        <f t="shared" si="4"/>
        <v>0</v>
      </c>
      <c r="H81" s="64"/>
      <c r="I81" s="74"/>
      <c r="J81" s="42"/>
      <c r="M81" s="181">
        <v>0</v>
      </c>
      <c r="N81" s="181">
        <v>0</v>
      </c>
    </row>
    <row r="82" spans="1:16" x14ac:dyDescent="0.35">
      <c r="A82" s="169">
        <f t="shared" si="0"/>
        <v>71</v>
      </c>
      <c r="B82" s="9"/>
      <c r="C82" s="11"/>
      <c r="D82" s="10"/>
      <c r="E82" s="17"/>
      <c r="F82" s="17"/>
      <c r="G82" s="17">
        <f t="shared" si="4"/>
        <v>0</v>
      </c>
      <c r="H82" s="17"/>
      <c r="I82" s="73"/>
      <c r="J82" s="18"/>
      <c r="M82" s="181">
        <v>0</v>
      </c>
      <c r="N82" s="181">
        <v>0</v>
      </c>
    </row>
    <row r="83" spans="1:16" s="182" customFormat="1" ht="15" x14ac:dyDescent="0.4">
      <c r="A83" s="169">
        <f t="shared" si="0"/>
        <v>72</v>
      </c>
      <c r="B83" s="193" t="s">
        <v>519</v>
      </c>
      <c r="C83" s="123"/>
      <c r="D83" s="176"/>
      <c r="E83" s="131"/>
      <c r="F83" s="131"/>
      <c r="G83" s="131"/>
      <c r="H83" s="131"/>
      <c r="I83" s="177"/>
      <c r="J83" s="179"/>
      <c r="K83" s="180"/>
      <c r="L83" s="180"/>
      <c r="M83" s="181"/>
      <c r="N83" s="181"/>
      <c r="P83" s="180"/>
    </row>
    <row r="84" spans="1:16" s="182" customFormat="1" ht="15" x14ac:dyDescent="0.4">
      <c r="A84" s="169">
        <f t="shared" si="0"/>
        <v>73</v>
      </c>
      <c r="B84" s="185" t="s">
        <v>520</v>
      </c>
      <c r="C84" s="123">
        <v>3706</v>
      </c>
      <c r="D84" s="176" t="s">
        <v>89</v>
      </c>
      <c r="E84" s="177">
        <f t="shared" si="3"/>
        <v>0.64499999999999991</v>
      </c>
      <c r="F84" s="178">
        <f t="shared" ref="F84:F113" si="13">C84*E84</f>
        <v>2390.3699999999994</v>
      </c>
      <c r="G84" s="177">
        <f t="shared" si="4"/>
        <v>0.96750000000000003</v>
      </c>
      <c r="H84" s="178">
        <f t="shared" ref="H84:H113" si="14">C84*G84</f>
        <v>3585.5550000000003</v>
      </c>
      <c r="I84" s="177">
        <f t="shared" ref="I84:I113" si="15">E84+G84</f>
        <v>1.6124999999999998</v>
      </c>
      <c r="J84" s="179">
        <f t="shared" ref="J84:J113" si="16">I84*C84</f>
        <v>5975.9249999999993</v>
      </c>
      <c r="K84" s="180"/>
      <c r="L84" s="180"/>
      <c r="M84" s="181">
        <v>0.6</v>
      </c>
      <c r="N84" s="181">
        <v>0.9</v>
      </c>
      <c r="P84" s="180"/>
    </row>
    <row r="85" spans="1:16" s="182" customFormat="1" ht="27" x14ac:dyDescent="0.4">
      <c r="A85" s="169">
        <f t="shared" si="0"/>
        <v>74</v>
      </c>
      <c r="B85" s="152" t="s">
        <v>521</v>
      </c>
      <c r="C85" s="123">
        <v>3706</v>
      </c>
      <c r="D85" s="176" t="s">
        <v>89</v>
      </c>
      <c r="E85" s="177">
        <f t="shared" si="3"/>
        <v>5.375</v>
      </c>
      <c r="F85" s="178">
        <f t="shared" si="13"/>
        <v>19919.75</v>
      </c>
      <c r="G85" s="177">
        <f t="shared" si="4"/>
        <v>8.0625</v>
      </c>
      <c r="H85" s="178">
        <f t="shared" si="14"/>
        <v>29879.625</v>
      </c>
      <c r="I85" s="177">
        <f t="shared" si="15"/>
        <v>13.4375</v>
      </c>
      <c r="J85" s="179">
        <f t="shared" si="16"/>
        <v>49799.375</v>
      </c>
      <c r="K85" s="180"/>
      <c r="L85" s="180"/>
      <c r="M85" s="181">
        <v>5</v>
      </c>
      <c r="N85" s="181">
        <v>7.5</v>
      </c>
      <c r="P85" s="180"/>
    </row>
    <row r="86" spans="1:16" s="182" customFormat="1" ht="15" x14ac:dyDescent="0.4">
      <c r="A86" s="169">
        <f t="shared" si="0"/>
        <v>75</v>
      </c>
      <c r="B86" s="185" t="s">
        <v>522</v>
      </c>
      <c r="C86" s="123">
        <v>319</v>
      </c>
      <c r="D86" s="176" t="s">
        <v>300</v>
      </c>
      <c r="E86" s="177">
        <f t="shared" si="3"/>
        <v>8.6</v>
      </c>
      <c r="F86" s="178">
        <f t="shared" si="13"/>
        <v>2743.4</v>
      </c>
      <c r="G86" s="177">
        <f t="shared" si="4"/>
        <v>12.899999999999999</v>
      </c>
      <c r="H86" s="178">
        <f t="shared" si="14"/>
        <v>4115.0999999999995</v>
      </c>
      <c r="I86" s="177">
        <f t="shared" si="15"/>
        <v>21.5</v>
      </c>
      <c r="J86" s="179">
        <f t="shared" si="16"/>
        <v>6858.5</v>
      </c>
      <c r="K86" s="180"/>
      <c r="L86" s="180"/>
      <c r="M86" s="181">
        <v>8</v>
      </c>
      <c r="N86" s="181">
        <v>12</v>
      </c>
      <c r="P86" s="180"/>
    </row>
    <row r="87" spans="1:16" s="182" customFormat="1" ht="15" x14ac:dyDescent="0.4">
      <c r="A87" s="169">
        <f t="shared" si="0"/>
        <v>76</v>
      </c>
      <c r="B87" s="193" t="s">
        <v>523</v>
      </c>
      <c r="C87" s="187"/>
      <c r="D87" s="188"/>
      <c r="E87" s="194"/>
      <c r="F87" s="178">
        <f t="shared" si="13"/>
        <v>0</v>
      </c>
      <c r="G87" s="194"/>
      <c r="H87" s="178">
        <f t="shared" si="14"/>
        <v>0</v>
      </c>
      <c r="I87" s="177"/>
      <c r="J87" s="179"/>
      <c r="K87" s="180"/>
      <c r="L87" s="180"/>
      <c r="M87" s="181"/>
      <c r="N87" s="181"/>
      <c r="P87" s="180"/>
    </row>
    <row r="88" spans="1:16" s="182" customFormat="1" ht="15" x14ac:dyDescent="0.4">
      <c r="A88" s="169">
        <f t="shared" si="0"/>
        <v>77</v>
      </c>
      <c r="B88" s="122" t="s">
        <v>524</v>
      </c>
      <c r="C88" s="123">
        <v>6386</v>
      </c>
      <c r="D88" s="176" t="s">
        <v>89</v>
      </c>
      <c r="E88" s="177">
        <f t="shared" ref="E88:E137" si="17">M88*$M$8</f>
        <v>0.43</v>
      </c>
      <c r="F88" s="178">
        <f t="shared" si="13"/>
        <v>2745.98</v>
      </c>
      <c r="G88" s="177">
        <f t="shared" ref="G88:G137" si="18">N88*$N$8</f>
        <v>0.64499999999999991</v>
      </c>
      <c r="H88" s="178">
        <f t="shared" si="14"/>
        <v>4118.9699999999993</v>
      </c>
      <c r="I88" s="177">
        <f t="shared" si="15"/>
        <v>1.075</v>
      </c>
      <c r="J88" s="179">
        <f t="shared" si="16"/>
        <v>6864.95</v>
      </c>
      <c r="K88" s="180"/>
      <c r="L88" s="180"/>
      <c r="M88" s="181">
        <v>0.4</v>
      </c>
      <c r="N88" s="181">
        <v>0.6</v>
      </c>
    </row>
    <row r="89" spans="1:16" s="182" customFormat="1" ht="15" x14ac:dyDescent="0.4">
      <c r="A89" s="169">
        <f t="shared" si="0"/>
        <v>78</v>
      </c>
      <c r="B89" s="122" t="s">
        <v>525</v>
      </c>
      <c r="C89" s="123">
        <v>6386</v>
      </c>
      <c r="D89" s="176" t="s">
        <v>89</v>
      </c>
      <c r="E89" s="177">
        <f t="shared" si="17"/>
        <v>9.0299999999999994</v>
      </c>
      <c r="F89" s="178">
        <f t="shared" si="13"/>
        <v>57665.579999999994</v>
      </c>
      <c r="G89" s="177">
        <f t="shared" si="18"/>
        <v>4.9449999999999994</v>
      </c>
      <c r="H89" s="178">
        <f t="shared" si="14"/>
        <v>31578.769999999997</v>
      </c>
      <c r="I89" s="177">
        <f t="shared" si="15"/>
        <v>13.974999999999998</v>
      </c>
      <c r="J89" s="179">
        <f t="shared" si="16"/>
        <v>89244.349999999991</v>
      </c>
      <c r="K89" s="180"/>
      <c r="L89" s="180"/>
      <c r="M89" s="181">
        <v>8.4</v>
      </c>
      <c r="N89" s="181">
        <v>4.5999999999999996</v>
      </c>
    </row>
    <row r="90" spans="1:16" s="182" customFormat="1" ht="15" x14ac:dyDescent="0.4">
      <c r="A90" s="169">
        <f t="shared" si="0"/>
        <v>79</v>
      </c>
      <c r="B90" s="193" t="s">
        <v>526</v>
      </c>
      <c r="C90" s="123"/>
      <c r="D90" s="176"/>
      <c r="E90" s="177"/>
      <c r="F90" s="178">
        <f t="shared" si="13"/>
        <v>0</v>
      </c>
      <c r="G90" s="177"/>
      <c r="H90" s="178">
        <f t="shared" si="14"/>
        <v>0</v>
      </c>
      <c r="I90" s="177"/>
      <c r="J90" s="179"/>
      <c r="K90" s="180"/>
      <c r="L90" s="180"/>
      <c r="M90" s="181"/>
      <c r="N90" s="181"/>
    </row>
    <row r="91" spans="1:16" s="182" customFormat="1" ht="27" x14ac:dyDescent="0.4">
      <c r="A91" s="169">
        <f t="shared" si="0"/>
        <v>80</v>
      </c>
      <c r="B91" s="122" t="s">
        <v>527</v>
      </c>
      <c r="C91" s="123">
        <v>1891</v>
      </c>
      <c r="D91" s="176" t="s">
        <v>89</v>
      </c>
      <c r="E91" s="177">
        <f t="shared" si="17"/>
        <v>1.075</v>
      </c>
      <c r="F91" s="178">
        <f t="shared" si="13"/>
        <v>2032.8249999999998</v>
      </c>
      <c r="G91" s="177">
        <f t="shared" si="18"/>
        <v>1.6124999999999998</v>
      </c>
      <c r="H91" s="178">
        <f t="shared" si="14"/>
        <v>3049.2374999999997</v>
      </c>
      <c r="I91" s="177">
        <f t="shared" si="15"/>
        <v>2.6875</v>
      </c>
      <c r="J91" s="179">
        <f t="shared" si="16"/>
        <v>5082.0625</v>
      </c>
      <c r="K91" s="180"/>
      <c r="L91" s="180"/>
      <c r="M91" s="181">
        <v>1</v>
      </c>
      <c r="N91" s="181">
        <v>1.5</v>
      </c>
    </row>
    <row r="92" spans="1:16" s="182" customFormat="1" ht="27" x14ac:dyDescent="0.4">
      <c r="A92" s="169">
        <f t="shared" si="0"/>
        <v>81</v>
      </c>
      <c r="B92" s="122" t="s">
        <v>528</v>
      </c>
      <c r="C92" s="123">
        <v>1891</v>
      </c>
      <c r="D92" s="176" t="s">
        <v>89</v>
      </c>
      <c r="E92" s="177">
        <f t="shared" si="17"/>
        <v>15.049999999999999</v>
      </c>
      <c r="F92" s="178">
        <f t="shared" si="13"/>
        <v>28459.55</v>
      </c>
      <c r="G92" s="177">
        <f t="shared" si="18"/>
        <v>22.574999999999999</v>
      </c>
      <c r="H92" s="178">
        <f t="shared" si="14"/>
        <v>42689.324999999997</v>
      </c>
      <c r="I92" s="177">
        <f t="shared" si="15"/>
        <v>37.625</v>
      </c>
      <c r="J92" s="179">
        <f t="shared" si="16"/>
        <v>71148.875</v>
      </c>
      <c r="K92" s="180"/>
      <c r="L92" s="180"/>
      <c r="M92" s="181">
        <v>14</v>
      </c>
      <c r="N92" s="181">
        <v>21</v>
      </c>
    </row>
    <row r="93" spans="1:16" s="182" customFormat="1" ht="27" x14ac:dyDescent="0.4">
      <c r="A93" s="169">
        <f t="shared" si="0"/>
        <v>82</v>
      </c>
      <c r="B93" s="122" t="s">
        <v>529</v>
      </c>
      <c r="C93" s="123">
        <v>1547</v>
      </c>
      <c r="D93" s="176" t="s">
        <v>89</v>
      </c>
      <c r="E93" s="177">
        <f t="shared" si="17"/>
        <v>3.8699999999999997</v>
      </c>
      <c r="F93" s="178">
        <f t="shared" si="13"/>
        <v>5986.8899999999994</v>
      </c>
      <c r="G93" s="177">
        <f t="shared" si="18"/>
        <v>2.58</v>
      </c>
      <c r="H93" s="178">
        <f t="shared" si="14"/>
        <v>3991.26</v>
      </c>
      <c r="I93" s="177">
        <f t="shared" si="15"/>
        <v>6.4499999999999993</v>
      </c>
      <c r="J93" s="179">
        <f t="shared" si="16"/>
        <v>9978.15</v>
      </c>
      <c r="K93" s="180"/>
      <c r="L93" s="180"/>
      <c r="M93" s="181">
        <v>3.5999999999999996</v>
      </c>
      <c r="N93" s="181">
        <v>2.4000000000000004</v>
      </c>
    </row>
    <row r="94" spans="1:16" s="182" customFormat="1" ht="15" x14ac:dyDescent="0.4">
      <c r="A94" s="169">
        <f t="shared" si="0"/>
        <v>83</v>
      </c>
      <c r="B94" s="122" t="s">
        <v>530</v>
      </c>
      <c r="C94" s="123">
        <v>1547</v>
      </c>
      <c r="D94" s="176" t="s">
        <v>89</v>
      </c>
      <c r="E94" s="177">
        <f t="shared" si="17"/>
        <v>17.587</v>
      </c>
      <c r="F94" s="178">
        <f t="shared" si="13"/>
        <v>27207.089</v>
      </c>
      <c r="G94" s="177">
        <f t="shared" si="18"/>
        <v>12.513</v>
      </c>
      <c r="H94" s="178">
        <f t="shared" si="14"/>
        <v>19357.611000000001</v>
      </c>
      <c r="I94" s="177">
        <f t="shared" si="15"/>
        <v>30.1</v>
      </c>
      <c r="J94" s="179">
        <f t="shared" si="16"/>
        <v>46564.700000000004</v>
      </c>
      <c r="K94" s="180"/>
      <c r="L94" s="180"/>
      <c r="M94" s="181">
        <v>16.36</v>
      </c>
      <c r="N94" s="181">
        <v>11.64</v>
      </c>
    </row>
    <row r="95" spans="1:16" s="182" customFormat="1" ht="15" x14ac:dyDescent="0.4">
      <c r="A95" s="169">
        <f t="shared" si="0"/>
        <v>84</v>
      </c>
      <c r="B95" s="195" t="s">
        <v>531</v>
      </c>
      <c r="C95" s="123"/>
      <c r="D95" s="176"/>
      <c r="E95" s="177"/>
      <c r="F95" s="178">
        <f t="shared" si="13"/>
        <v>0</v>
      </c>
      <c r="G95" s="177"/>
      <c r="H95" s="178">
        <f t="shared" si="14"/>
        <v>0</v>
      </c>
      <c r="I95" s="177"/>
      <c r="J95" s="179"/>
      <c r="K95" s="180"/>
      <c r="L95" s="180"/>
      <c r="M95" s="181"/>
      <c r="N95" s="181"/>
    </row>
    <row r="96" spans="1:16" s="182" customFormat="1" ht="27" x14ac:dyDescent="0.4">
      <c r="A96" s="169">
        <f t="shared" si="0"/>
        <v>85</v>
      </c>
      <c r="B96" s="122" t="s">
        <v>532</v>
      </c>
      <c r="C96" s="123">
        <v>310</v>
      </c>
      <c r="D96" s="176" t="s">
        <v>300</v>
      </c>
      <c r="E96" s="177">
        <f t="shared" si="17"/>
        <v>32.25</v>
      </c>
      <c r="F96" s="178">
        <f t="shared" si="13"/>
        <v>9997.5</v>
      </c>
      <c r="G96" s="177">
        <f t="shared" si="18"/>
        <v>21.5</v>
      </c>
      <c r="H96" s="178">
        <f t="shared" si="14"/>
        <v>6665</v>
      </c>
      <c r="I96" s="177">
        <f t="shared" si="15"/>
        <v>53.75</v>
      </c>
      <c r="J96" s="179">
        <f t="shared" si="16"/>
        <v>16662.5</v>
      </c>
      <c r="K96" s="180"/>
      <c r="L96" s="180"/>
      <c r="M96" s="181">
        <v>30</v>
      </c>
      <c r="N96" s="181">
        <v>20</v>
      </c>
    </row>
    <row r="97" spans="1:14" s="182" customFormat="1" ht="15" x14ac:dyDescent="0.4">
      <c r="A97" s="169">
        <f t="shared" si="0"/>
        <v>86</v>
      </c>
      <c r="B97" s="122" t="s">
        <v>533</v>
      </c>
      <c r="C97" s="123">
        <v>146</v>
      </c>
      <c r="D97" s="176" t="s">
        <v>300</v>
      </c>
      <c r="E97" s="177">
        <f t="shared" si="17"/>
        <v>30.959999999999997</v>
      </c>
      <c r="F97" s="178">
        <f t="shared" si="13"/>
        <v>4520.16</v>
      </c>
      <c r="G97" s="177">
        <f t="shared" si="18"/>
        <v>38.914999999999999</v>
      </c>
      <c r="H97" s="178">
        <f t="shared" si="14"/>
        <v>5681.59</v>
      </c>
      <c r="I97" s="177">
        <f t="shared" si="15"/>
        <v>69.875</v>
      </c>
      <c r="J97" s="179">
        <f t="shared" si="16"/>
        <v>10201.75</v>
      </c>
      <c r="K97" s="180"/>
      <c r="L97" s="180"/>
      <c r="M97" s="181">
        <v>28.799999999999997</v>
      </c>
      <c r="N97" s="181">
        <v>36.200000000000003</v>
      </c>
    </row>
    <row r="98" spans="1:14" s="182" customFormat="1" ht="15" x14ac:dyDescent="0.4">
      <c r="A98" s="169">
        <f t="shared" si="0"/>
        <v>87</v>
      </c>
      <c r="B98" s="195" t="s">
        <v>501</v>
      </c>
      <c r="C98" s="123"/>
      <c r="D98" s="176"/>
      <c r="E98" s="177"/>
      <c r="F98" s="178">
        <f t="shared" si="13"/>
        <v>0</v>
      </c>
      <c r="G98" s="177"/>
      <c r="H98" s="178">
        <f t="shared" si="14"/>
        <v>0</v>
      </c>
      <c r="I98" s="177"/>
      <c r="J98" s="179"/>
      <c r="K98" s="180"/>
      <c r="L98" s="180"/>
      <c r="M98" s="181"/>
      <c r="N98" s="181"/>
    </row>
    <row r="99" spans="1:14" s="182" customFormat="1" ht="15" x14ac:dyDescent="0.4">
      <c r="A99" s="169">
        <f t="shared" si="0"/>
        <v>88</v>
      </c>
      <c r="B99" s="195" t="s">
        <v>534</v>
      </c>
      <c r="C99" s="123"/>
      <c r="D99" s="176"/>
      <c r="E99" s="177"/>
      <c r="F99" s="178">
        <f t="shared" si="13"/>
        <v>0</v>
      </c>
      <c r="G99" s="177"/>
      <c r="H99" s="178">
        <f t="shared" si="14"/>
        <v>0</v>
      </c>
      <c r="I99" s="177"/>
      <c r="J99" s="179"/>
      <c r="K99" s="180"/>
      <c r="L99" s="180"/>
      <c r="M99" s="181"/>
      <c r="N99" s="181"/>
    </row>
    <row r="100" spans="1:14" s="182" customFormat="1" ht="27" x14ac:dyDescent="0.4">
      <c r="A100" s="169">
        <f t="shared" si="0"/>
        <v>89</v>
      </c>
      <c r="B100" s="122" t="s">
        <v>535</v>
      </c>
      <c r="C100" s="123">
        <v>114562</v>
      </c>
      <c r="D100" s="176" t="s">
        <v>89</v>
      </c>
      <c r="E100" s="177">
        <f t="shared" si="17"/>
        <v>1.075</v>
      </c>
      <c r="F100" s="178">
        <f t="shared" si="13"/>
        <v>123154.15</v>
      </c>
      <c r="G100" s="177">
        <f t="shared" si="18"/>
        <v>1.6124999999999998</v>
      </c>
      <c r="H100" s="178">
        <f t="shared" si="14"/>
        <v>184731.22499999998</v>
      </c>
      <c r="I100" s="177">
        <f t="shared" si="15"/>
        <v>2.6875</v>
      </c>
      <c r="J100" s="179">
        <f t="shared" si="16"/>
        <v>307885.375</v>
      </c>
      <c r="K100" s="180"/>
      <c r="L100" s="180"/>
      <c r="M100" s="181">
        <v>1</v>
      </c>
      <c r="N100" s="181">
        <v>1.5</v>
      </c>
    </row>
    <row r="101" spans="1:14" s="182" customFormat="1" ht="27" x14ac:dyDescent="0.4">
      <c r="A101" s="169">
        <f t="shared" si="0"/>
        <v>90</v>
      </c>
      <c r="B101" s="122" t="s">
        <v>536</v>
      </c>
      <c r="C101" s="123">
        <v>114562</v>
      </c>
      <c r="D101" s="176" t="s">
        <v>89</v>
      </c>
      <c r="E101" s="177">
        <f t="shared" si="17"/>
        <v>4.1924999999999999</v>
      </c>
      <c r="F101" s="178">
        <f t="shared" si="13"/>
        <v>480301.185</v>
      </c>
      <c r="G101" s="177">
        <f t="shared" si="18"/>
        <v>2.2574999999999994</v>
      </c>
      <c r="H101" s="178">
        <f t="shared" si="14"/>
        <v>258623.71499999994</v>
      </c>
      <c r="I101" s="177">
        <f t="shared" si="15"/>
        <v>6.4499999999999993</v>
      </c>
      <c r="J101" s="179">
        <f t="shared" si="16"/>
        <v>738924.89999999991</v>
      </c>
      <c r="K101" s="180"/>
      <c r="L101" s="180"/>
      <c r="M101" s="181">
        <v>3.9000000000000004</v>
      </c>
      <c r="N101" s="181">
        <v>2.0999999999999996</v>
      </c>
    </row>
    <row r="102" spans="1:14" s="182" customFormat="1" ht="15" x14ac:dyDescent="0.4">
      <c r="A102" s="169">
        <f t="shared" si="0"/>
        <v>91</v>
      </c>
      <c r="B102" s="122" t="s">
        <v>537</v>
      </c>
      <c r="C102" s="123">
        <v>3363</v>
      </c>
      <c r="D102" s="176" t="s">
        <v>300</v>
      </c>
      <c r="E102" s="177">
        <f t="shared" si="17"/>
        <v>11.61</v>
      </c>
      <c r="F102" s="178">
        <f t="shared" si="13"/>
        <v>39044.43</v>
      </c>
      <c r="G102" s="177">
        <f t="shared" si="18"/>
        <v>7.7399999999999993</v>
      </c>
      <c r="H102" s="178">
        <f t="shared" si="14"/>
        <v>26029.62</v>
      </c>
      <c r="I102" s="177">
        <f t="shared" si="15"/>
        <v>19.349999999999998</v>
      </c>
      <c r="J102" s="179">
        <f t="shared" si="16"/>
        <v>65074.049999999996</v>
      </c>
      <c r="K102" s="180"/>
      <c r="L102" s="180"/>
      <c r="M102" s="181">
        <v>10.8</v>
      </c>
      <c r="N102" s="181">
        <v>7.1999999999999993</v>
      </c>
    </row>
    <row r="103" spans="1:14" s="182" customFormat="1" ht="15" x14ac:dyDescent="0.4">
      <c r="A103" s="169">
        <f t="shared" si="0"/>
        <v>92</v>
      </c>
      <c r="B103" s="122" t="s">
        <v>538</v>
      </c>
      <c r="C103" s="123">
        <v>3321</v>
      </c>
      <c r="D103" s="176" t="s">
        <v>89</v>
      </c>
      <c r="E103" s="177">
        <f t="shared" si="17"/>
        <v>8.6</v>
      </c>
      <c r="F103" s="178">
        <f t="shared" si="13"/>
        <v>28560.6</v>
      </c>
      <c r="G103" s="177">
        <f t="shared" si="18"/>
        <v>12.899999999999999</v>
      </c>
      <c r="H103" s="178">
        <f t="shared" si="14"/>
        <v>42840.899999999994</v>
      </c>
      <c r="I103" s="177">
        <f t="shared" si="15"/>
        <v>21.5</v>
      </c>
      <c r="J103" s="179">
        <f t="shared" si="16"/>
        <v>71401.5</v>
      </c>
      <c r="K103" s="180"/>
      <c r="L103" s="180"/>
      <c r="M103" s="181">
        <v>8</v>
      </c>
      <c r="N103" s="181">
        <v>12</v>
      </c>
    </row>
    <row r="104" spans="1:14" s="182" customFormat="1" ht="15" x14ac:dyDescent="0.4">
      <c r="A104" s="169">
        <f t="shared" si="0"/>
        <v>93</v>
      </c>
      <c r="B104" s="193" t="s">
        <v>523</v>
      </c>
      <c r="C104" s="123"/>
      <c r="D104" s="176"/>
      <c r="E104" s="177"/>
      <c r="F104" s="178">
        <f t="shared" si="13"/>
        <v>0</v>
      </c>
      <c r="G104" s="177"/>
      <c r="H104" s="178">
        <f t="shared" si="14"/>
        <v>0</v>
      </c>
      <c r="I104" s="177"/>
      <c r="J104" s="179"/>
      <c r="K104" s="180"/>
      <c r="L104" s="180"/>
      <c r="M104" s="181"/>
      <c r="N104" s="181"/>
    </row>
    <row r="105" spans="1:14" s="182" customFormat="1" ht="15" x14ac:dyDescent="0.4">
      <c r="A105" s="169">
        <f t="shared" si="0"/>
        <v>94</v>
      </c>
      <c r="B105" s="122" t="s">
        <v>524</v>
      </c>
      <c r="C105" s="123">
        <v>5368</v>
      </c>
      <c r="D105" s="176" t="s">
        <v>89</v>
      </c>
      <c r="E105" s="177">
        <f t="shared" si="17"/>
        <v>0.43</v>
      </c>
      <c r="F105" s="178">
        <f t="shared" si="13"/>
        <v>2308.2399999999998</v>
      </c>
      <c r="G105" s="177">
        <f t="shared" si="18"/>
        <v>0.64499999999999991</v>
      </c>
      <c r="H105" s="178">
        <f t="shared" si="14"/>
        <v>3462.3599999999997</v>
      </c>
      <c r="I105" s="177">
        <f t="shared" si="15"/>
        <v>1.075</v>
      </c>
      <c r="J105" s="179">
        <f t="shared" si="16"/>
        <v>5770.5999999999995</v>
      </c>
      <c r="K105" s="180"/>
      <c r="L105" s="180"/>
      <c r="M105" s="181">
        <v>0.4</v>
      </c>
      <c r="N105" s="181">
        <v>0.6</v>
      </c>
    </row>
    <row r="106" spans="1:14" s="182" customFormat="1" ht="15" x14ac:dyDescent="0.4">
      <c r="A106" s="169">
        <f t="shared" si="0"/>
        <v>95</v>
      </c>
      <c r="B106" s="122" t="s">
        <v>525</v>
      </c>
      <c r="C106" s="123">
        <v>5368</v>
      </c>
      <c r="D106" s="176" t="s">
        <v>89</v>
      </c>
      <c r="E106" s="177">
        <f t="shared" si="17"/>
        <v>9.0299999999999994</v>
      </c>
      <c r="F106" s="178">
        <f t="shared" si="13"/>
        <v>48473.039999999994</v>
      </c>
      <c r="G106" s="177">
        <f t="shared" si="18"/>
        <v>4.9449999999999994</v>
      </c>
      <c r="H106" s="178">
        <f t="shared" si="14"/>
        <v>26544.76</v>
      </c>
      <c r="I106" s="177">
        <f t="shared" si="15"/>
        <v>13.974999999999998</v>
      </c>
      <c r="J106" s="179">
        <f t="shared" si="16"/>
        <v>75017.799999999988</v>
      </c>
      <c r="K106" s="180"/>
      <c r="L106" s="180"/>
      <c r="M106" s="181">
        <v>8.4</v>
      </c>
      <c r="N106" s="181">
        <v>4.5999999999999996</v>
      </c>
    </row>
    <row r="107" spans="1:14" s="182" customFormat="1" ht="15" x14ac:dyDescent="0.4">
      <c r="A107" s="169">
        <f t="shared" si="0"/>
        <v>96</v>
      </c>
      <c r="B107" s="195" t="s">
        <v>539</v>
      </c>
      <c r="C107" s="187"/>
      <c r="D107" s="188"/>
      <c r="E107" s="194"/>
      <c r="F107" s="178">
        <f t="shared" si="13"/>
        <v>0</v>
      </c>
      <c r="G107" s="194"/>
      <c r="H107" s="178">
        <f t="shared" si="14"/>
        <v>0</v>
      </c>
      <c r="I107" s="177"/>
      <c r="J107" s="179"/>
      <c r="K107" s="180"/>
      <c r="L107" s="180"/>
      <c r="M107" s="181"/>
      <c r="N107" s="181"/>
    </row>
    <row r="108" spans="1:14" s="182" customFormat="1" ht="15" x14ac:dyDescent="0.4">
      <c r="A108" s="169">
        <f t="shared" si="0"/>
        <v>97</v>
      </c>
      <c r="B108" s="122" t="s">
        <v>540</v>
      </c>
      <c r="C108" s="123">
        <v>3796</v>
      </c>
      <c r="D108" s="176" t="s">
        <v>89</v>
      </c>
      <c r="E108" s="177">
        <f t="shared" si="17"/>
        <v>0.86</v>
      </c>
      <c r="F108" s="178">
        <f t="shared" si="13"/>
        <v>3264.56</v>
      </c>
      <c r="G108" s="177">
        <f t="shared" si="18"/>
        <v>1.2899999999999998</v>
      </c>
      <c r="H108" s="178">
        <f t="shared" si="14"/>
        <v>4896.8399999999992</v>
      </c>
      <c r="I108" s="177">
        <f t="shared" si="15"/>
        <v>2.15</v>
      </c>
      <c r="J108" s="179">
        <f t="shared" si="16"/>
        <v>8161.4</v>
      </c>
      <c r="K108" s="180"/>
      <c r="L108" s="180"/>
      <c r="M108" s="181">
        <v>0.8</v>
      </c>
      <c r="N108" s="181">
        <v>1.2</v>
      </c>
    </row>
    <row r="109" spans="1:14" s="182" customFormat="1" ht="15" x14ac:dyDescent="0.4">
      <c r="A109" s="169">
        <f t="shared" si="0"/>
        <v>98</v>
      </c>
      <c r="B109" s="122" t="s">
        <v>541</v>
      </c>
      <c r="C109" s="123">
        <v>97</v>
      </c>
      <c r="D109" s="176" t="s">
        <v>89</v>
      </c>
      <c r="E109" s="177">
        <f t="shared" si="17"/>
        <v>21.5</v>
      </c>
      <c r="F109" s="178">
        <f t="shared" si="13"/>
        <v>2085.5</v>
      </c>
      <c r="G109" s="177">
        <f t="shared" si="18"/>
        <v>32.25</v>
      </c>
      <c r="H109" s="178">
        <f t="shared" si="14"/>
        <v>3128.25</v>
      </c>
      <c r="I109" s="177">
        <f t="shared" si="15"/>
        <v>53.75</v>
      </c>
      <c r="J109" s="179">
        <f t="shared" si="16"/>
        <v>5213.75</v>
      </c>
      <c r="K109" s="180"/>
      <c r="L109" s="180"/>
      <c r="M109" s="181">
        <v>20</v>
      </c>
      <c r="N109" s="181">
        <v>30</v>
      </c>
    </row>
    <row r="110" spans="1:14" s="182" customFormat="1" ht="15" x14ac:dyDescent="0.4">
      <c r="A110" s="169">
        <f t="shared" si="0"/>
        <v>99</v>
      </c>
      <c r="B110" s="122" t="s">
        <v>542</v>
      </c>
      <c r="C110" s="123">
        <v>290</v>
      </c>
      <c r="D110" s="176" t="s">
        <v>290</v>
      </c>
      <c r="E110" s="177">
        <f t="shared" si="17"/>
        <v>129</v>
      </c>
      <c r="F110" s="178">
        <f t="shared" si="13"/>
        <v>37410</v>
      </c>
      <c r="G110" s="177">
        <f t="shared" si="18"/>
        <v>193.5</v>
      </c>
      <c r="H110" s="178">
        <f t="shared" si="14"/>
        <v>56115</v>
      </c>
      <c r="I110" s="177">
        <f t="shared" si="15"/>
        <v>322.5</v>
      </c>
      <c r="J110" s="179">
        <f t="shared" si="16"/>
        <v>93525</v>
      </c>
      <c r="K110" s="180"/>
      <c r="L110" s="180"/>
      <c r="M110" s="181">
        <v>120</v>
      </c>
      <c r="N110" s="181">
        <v>180</v>
      </c>
    </row>
    <row r="111" spans="1:14" s="182" customFormat="1" ht="15" x14ac:dyDescent="0.4">
      <c r="A111" s="169">
        <f t="shared" si="0"/>
        <v>100</v>
      </c>
      <c r="B111" s="122" t="s">
        <v>543</v>
      </c>
      <c r="C111" s="123">
        <v>8</v>
      </c>
      <c r="D111" s="176" t="s">
        <v>290</v>
      </c>
      <c r="E111" s="177">
        <f t="shared" si="17"/>
        <v>64.5</v>
      </c>
      <c r="F111" s="178">
        <f t="shared" si="13"/>
        <v>516</v>
      </c>
      <c r="G111" s="177">
        <f t="shared" si="18"/>
        <v>96.75</v>
      </c>
      <c r="H111" s="178">
        <f t="shared" si="14"/>
        <v>774</v>
      </c>
      <c r="I111" s="177">
        <f t="shared" si="15"/>
        <v>161.25</v>
      </c>
      <c r="J111" s="179">
        <f t="shared" si="16"/>
        <v>1290</v>
      </c>
      <c r="K111" s="180"/>
      <c r="L111" s="180"/>
      <c r="M111" s="181">
        <v>60</v>
      </c>
      <c r="N111" s="181">
        <v>90</v>
      </c>
    </row>
    <row r="112" spans="1:14" s="182" customFormat="1" ht="15" x14ac:dyDescent="0.4">
      <c r="A112" s="169">
        <f t="shared" si="0"/>
        <v>101</v>
      </c>
      <c r="B112" s="196"/>
      <c r="C112" s="187"/>
      <c r="D112" s="188"/>
      <c r="E112" s="194"/>
      <c r="F112" s="178">
        <f t="shared" si="13"/>
        <v>0</v>
      </c>
      <c r="G112" s="194"/>
      <c r="H112" s="178">
        <f t="shared" si="14"/>
        <v>0</v>
      </c>
      <c r="I112" s="177"/>
      <c r="J112" s="179"/>
      <c r="K112" s="180"/>
      <c r="L112" s="180"/>
      <c r="M112" s="181"/>
      <c r="N112" s="181"/>
    </row>
    <row r="113" spans="1:16" s="182" customFormat="1" ht="27" x14ac:dyDescent="0.4">
      <c r="A113" s="169">
        <f t="shared" si="0"/>
        <v>102</v>
      </c>
      <c r="B113" s="122" t="s">
        <v>544</v>
      </c>
      <c r="C113" s="123">
        <v>270</v>
      </c>
      <c r="D113" s="176" t="s">
        <v>89</v>
      </c>
      <c r="E113" s="177">
        <f t="shared" si="17"/>
        <v>10.75</v>
      </c>
      <c r="F113" s="178">
        <f t="shared" si="13"/>
        <v>2902.5</v>
      </c>
      <c r="G113" s="177">
        <f t="shared" si="18"/>
        <v>32.25</v>
      </c>
      <c r="H113" s="178">
        <f t="shared" si="14"/>
        <v>8707.5</v>
      </c>
      <c r="I113" s="177">
        <f t="shared" si="15"/>
        <v>43</v>
      </c>
      <c r="J113" s="179">
        <f t="shared" si="16"/>
        <v>11610</v>
      </c>
      <c r="K113" s="180"/>
      <c r="L113" s="180"/>
      <c r="M113" s="181">
        <v>10</v>
      </c>
      <c r="N113" s="181">
        <v>30</v>
      </c>
      <c r="P113" s="180"/>
    </row>
    <row r="114" spans="1:16" x14ac:dyDescent="0.35">
      <c r="A114" s="169">
        <f t="shared" si="0"/>
        <v>103</v>
      </c>
      <c r="B114" s="9"/>
      <c r="C114" s="11"/>
      <c r="D114" s="10"/>
      <c r="E114" s="17"/>
      <c r="F114" s="20" t="s">
        <v>6</v>
      </c>
      <c r="G114" s="17">
        <f t="shared" si="18"/>
        <v>0</v>
      </c>
      <c r="H114" s="20" t="s">
        <v>6</v>
      </c>
      <c r="I114" s="73"/>
      <c r="J114" s="20" t="s">
        <v>6</v>
      </c>
      <c r="M114" s="181">
        <v>0</v>
      </c>
      <c r="N114" s="181">
        <v>0</v>
      </c>
    </row>
    <row r="115" spans="1:16" x14ac:dyDescent="0.35">
      <c r="A115" s="169">
        <f t="shared" si="0"/>
        <v>104</v>
      </c>
      <c r="B115" s="13" t="str">
        <f>"Subtotal " &amp; B81</f>
        <v>Subtotal 02-00-03 Pavements</v>
      </c>
      <c r="C115" s="11"/>
      <c r="D115" s="10"/>
      <c r="E115" s="17"/>
      <c r="F115" s="15">
        <f>SUM(F81:F114)</f>
        <v>931689.29900000012</v>
      </c>
      <c r="G115" s="17">
        <f t="shared" si="18"/>
        <v>0</v>
      </c>
      <c r="H115" s="15">
        <f>SUM(H81:H114)</f>
        <v>770566.21349999984</v>
      </c>
      <c r="I115" s="73"/>
      <c r="J115" s="15">
        <f>SUM(J81:J114)</f>
        <v>1702255.5125</v>
      </c>
      <c r="M115" s="181">
        <v>0</v>
      </c>
      <c r="N115" s="181">
        <v>0</v>
      </c>
    </row>
    <row r="116" spans="1:16" x14ac:dyDescent="0.35">
      <c r="A116" s="169">
        <f t="shared" si="0"/>
        <v>105</v>
      </c>
      <c r="B116" s="13"/>
      <c r="C116" s="11"/>
      <c r="D116" s="10"/>
      <c r="E116" s="17"/>
      <c r="F116" s="15"/>
      <c r="G116" s="17">
        <f t="shared" si="18"/>
        <v>0</v>
      </c>
      <c r="H116" s="15"/>
      <c r="I116" s="73"/>
      <c r="J116" s="15"/>
      <c r="M116" s="181">
        <v>0</v>
      </c>
      <c r="N116" s="181">
        <v>0</v>
      </c>
    </row>
    <row r="117" spans="1:16" x14ac:dyDescent="0.35">
      <c r="A117" s="169">
        <f t="shared" si="0"/>
        <v>106</v>
      </c>
      <c r="B117" s="62" t="s">
        <v>545</v>
      </c>
      <c r="C117" s="65"/>
      <c r="D117" s="63"/>
      <c r="E117" s="64"/>
      <c r="F117" s="64"/>
      <c r="G117" s="64">
        <f t="shared" si="18"/>
        <v>0</v>
      </c>
      <c r="H117" s="64"/>
      <c r="I117" s="74"/>
      <c r="J117" s="42"/>
      <c r="M117" s="181">
        <v>0</v>
      </c>
      <c r="N117" s="181">
        <v>0</v>
      </c>
    </row>
    <row r="118" spans="1:16" x14ac:dyDescent="0.35">
      <c r="A118" s="169">
        <f t="shared" si="0"/>
        <v>107</v>
      </c>
      <c r="B118" s="9"/>
      <c r="C118" s="11"/>
      <c r="D118" s="10"/>
      <c r="E118" s="17"/>
      <c r="F118" s="17"/>
      <c r="G118" s="17">
        <f t="shared" si="18"/>
        <v>0</v>
      </c>
      <c r="H118" s="17"/>
      <c r="I118" s="73"/>
      <c r="J118" s="18"/>
      <c r="M118" s="181">
        <v>0</v>
      </c>
      <c r="N118" s="181">
        <v>0</v>
      </c>
    </row>
    <row r="119" spans="1:16" s="182" customFormat="1" ht="15" x14ac:dyDescent="0.4">
      <c r="A119" s="169">
        <f t="shared" si="0"/>
        <v>108</v>
      </c>
      <c r="B119" s="192" t="s">
        <v>365</v>
      </c>
      <c r="C119" s="187"/>
      <c r="D119" s="188"/>
      <c r="E119" s="189"/>
      <c r="F119" s="189"/>
      <c r="G119" s="189"/>
      <c r="H119" s="189"/>
      <c r="I119" s="194"/>
      <c r="J119" s="197"/>
      <c r="K119" s="180"/>
      <c r="L119" s="180"/>
      <c r="M119" s="181"/>
      <c r="N119" s="181"/>
      <c r="P119" s="180"/>
    </row>
    <row r="120" spans="1:16" s="182" customFormat="1" ht="27" x14ac:dyDescent="0.4">
      <c r="A120" s="169">
        <f t="shared" si="0"/>
        <v>109</v>
      </c>
      <c r="B120" s="122" t="s">
        <v>366</v>
      </c>
      <c r="C120" s="123">
        <v>1100</v>
      </c>
      <c r="D120" s="176" t="s">
        <v>89</v>
      </c>
      <c r="E120" s="177">
        <f t="shared" si="17"/>
        <v>4.3</v>
      </c>
      <c r="F120" s="178">
        <f t="shared" ref="F120:F176" si="19">C120*E120</f>
        <v>4730</v>
      </c>
      <c r="G120" s="177">
        <f t="shared" si="18"/>
        <v>6.4499999999999993</v>
      </c>
      <c r="H120" s="178">
        <f t="shared" ref="H120:H176" si="20">C120*G120</f>
        <v>7094.9999999999991</v>
      </c>
      <c r="I120" s="177">
        <f t="shared" ref="I120:I176" si="21">E120+G120</f>
        <v>10.75</v>
      </c>
      <c r="J120" s="179">
        <f t="shared" ref="J120:J176" si="22">I120*C120</f>
        <v>11825</v>
      </c>
      <c r="K120" s="180"/>
      <c r="L120" s="180"/>
      <c r="M120" s="181">
        <v>4</v>
      </c>
      <c r="N120" s="181">
        <v>6</v>
      </c>
      <c r="P120" s="180"/>
    </row>
    <row r="121" spans="1:16" s="182" customFormat="1" ht="27" x14ac:dyDescent="0.4">
      <c r="A121" s="169">
        <f t="shared" si="0"/>
        <v>110</v>
      </c>
      <c r="B121" s="122" t="s">
        <v>367</v>
      </c>
      <c r="C121" s="123">
        <v>46.611111111111114</v>
      </c>
      <c r="D121" s="176" t="s">
        <v>292</v>
      </c>
      <c r="E121" s="177">
        <f t="shared" si="17"/>
        <v>402.48</v>
      </c>
      <c r="F121" s="178">
        <f t="shared" si="19"/>
        <v>18760.04</v>
      </c>
      <c r="G121" s="177">
        <f t="shared" si="18"/>
        <v>603.72</v>
      </c>
      <c r="H121" s="178">
        <f t="shared" si="20"/>
        <v>28140.060000000005</v>
      </c>
      <c r="I121" s="177">
        <f t="shared" si="21"/>
        <v>1006.2</v>
      </c>
      <c r="J121" s="179">
        <f t="shared" si="22"/>
        <v>46900.100000000006</v>
      </c>
      <c r="K121" s="180"/>
      <c r="L121" s="180"/>
      <c r="M121" s="181">
        <v>374.40000000000003</v>
      </c>
      <c r="N121" s="181">
        <v>561.6</v>
      </c>
      <c r="P121" s="180"/>
    </row>
    <row r="122" spans="1:16" s="182" customFormat="1" ht="27" x14ac:dyDescent="0.4">
      <c r="A122" s="169">
        <f t="shared" si="0"/>
        <v>111</v>
      </c>
      <c r="B122" s="122" t="s">
        <v>368</v>
      </c>
      <c r="C122" s="123">
        <v>3.23</v>
      </c>
      <c r="D122" s="176" t="s">
        <v>292</v>
      </c>
      <c r="E122" s="177">
        <f t="shared" si="17"/>
        <v>442.72800000000007</v>
      </c>
      <c r="F122" s="178">
        <f t="shared" si="19"/>
        <v>1430.0114400000002</v>
      </c>
      <c r="G122" s="177">
        <f t="shared" si="18"/>
        <v>664.0920000000001</v>
      </c>
      <c r="H122" s="178">
        <f t="shared" si="20"/>
        <v>2145.0171600000003</v>
      </c>
      <c r="I122" s="177">
        <f t="shared" si="21"/>
        <v>1106.8200000000002</v>
      </c>
      <c r="J122" s="179">
        <f t="shared" si="22"/>
        <v>3575.0286000000006</v>
      </c>
      <c r="K122" s="180"/>
      <c r="L122" s="180"/>
      <c r="M122" s="181">
        <v>411.84000000000009</v>
      </c>
      <c r="N122" s="181">
        <v>617.7600000000001</v>
      </c>
      <c r="P122" s="180"/>
    </row>
    <row r="123" spans="1:16" s="182" customFormat="1" ht="15" x14ac:dyDescent="0.4">
      <c r="A123" s="169">
        <f t="shared" si="0"/>
        <v>112</v>
      </c>
      <c r="B123" s="122" t="s">
        <v>369</v>
      </c>
      <c r="C123" s="123">
        <v>2973</v>
      </c>
      <c r="D123" s="176" t="s">
        <v>370</v>
      </c>
      <c r="E123" s="177">
        <f t="shared" si="17"/>
        <v>1.3415999999999999</v>
      </c>
      <c r="F123" s="178">
        <f t="shared" si="19"/>
        <v>3988.5767999999998</v>
      </c>
      <c r="G123" s="177">
        <f t="shared" si="18"/>
        <v>2.0124</v>
      </c>
      <c r="H123" s="178">
        <f t="shared" si="20"/>
        <v>5982.8652000000002</v>
      </c>
      <c r="I123" s="177">
        <f t="shared" si="21"/>
        <v>3.3540000000000001</v>
      </c>
      <c r="J123" s="179">
        <f t="shared" si="22"/>
        <v>9971.4420000000009</v>
      </c>
      <c r="K123" s="180"/>
      <c r="L123" s="180"/>
      <c r="M123" s="181">
        <v>1.248</v>
      </c>
      <c r="N123" s="181">
        <v>1.8720000000000001</v>
      </c>
      <c r="P123" s="180"/>
    </row>
    <row r="124" spans="1:16" s="182" customFormat="1" ht="27" x14ac:dyDescent="0.4">
      <c r="A124" s="169">
        <f t="shared" si="0"/>
        <v>113</v>
      </c>
      <c r="B124" s="122" t="s">
        <v>371</v>
      </c>
      <c r="C124" s="123">
        <v>2520</v>
      </c>
      <c r="D124" s="176" t="s">
        <v>89</v>
      </c>
      <c r="E124" s="177">
        <f t="shared" si="17"/>
        <v>10.75</v>
      </c>
      <c r="F124" s="178">
        <f t="shared" si="19"/>
        <v>27090</v>
      </c>
      <c r="G124" s="177">
        <f t="shared" si="18"/>
        <v>32.25</v>
      </c>
      <c r="H124" s="178">
        <f t="shared" si="20"/>
        <v>81270</v>
      </c>
      <c r="I124" s="177">
        <f t="shared" si="21"/>
        <v>43</v>
      </c>
      <c r="J124" s="179">
        <f t="shared" si="22"/>
        <v>108360</v>
      </c>
      <c r="K124" s="180"/>
      <c r="L124" s="180"/>
      <c r="M124" s="181">
        <v>10</v>
      </c>
      <c r="N124" s="181">
        <v>30</v>
      </c>
      <c r="P124" s="180"/>
    </row>
    <row r="125" spans="1:16" s="182" customFormat="1" ht="27" x14ac:dyDescent="0.4">
      <c r="A125" s="169">
        <f t="shared" si="0"/>
        <v>114</v>
      </c>
      <c r="B125" s="122" t="s">
        <v>372</v>
      </c>
      <c r="C125" s="123">
        <v>290</v>
      </c>
      <c r="D125" s="176" t="s">
        <v>89</v>
      </c>
      <c r="E125" s="177">
        <f t="shared" si="17"/>
        <v>4.03125</v>
      </c>
      <c r="F125" s="178">
        <f t="shared" si="19"/>
        <v>1169.0625</v>
      </c>
      <c r="G125" s="177">
        <f t="shared" si="18"/>
        <v>12.09375</v>
      </c>
      <c r="H125" s="178">
        <f t="shared" si="20"/>
        <v>3507.1875</v>
      </c>
      <c r="I125" s="177">
        <f t="shared" si="21"/>
        <v>16.125</v>
      </c>
      <c r="J125" s="179">
        <f t="shared" si="22"/>
        <v>4676.25</v>
      </c>
      <c r="K125" s="180"/>
      <c r="L125" s="180"/>
      <c r="M125" s="181">
        <v>3.75</v>
      </c>
      <c r="N125" s="181">
        <v>11.25</v>
      </c>
      <c r="P125" s="180"/>
    </row>
    <row r="126" spans="1:16" s="182" customFormat="1" ht="15" x14ac:dyDescent="0.4">
      <c r="A126" s="169">
        <f t="shared" si="0"/>
        <v>115</v>
      </c>
      <c r="B126" s="122" t="s">
        <v>373</v>
      </c>
      <c r="C126" s="123">
        <v>40.33</v>
      </c>
      <c r="D126" s="176" t="s">
        <v>89</v>
      </c>
      <c r="E126" s="177">
        <f t="shared" si="17"/>
        <v>4.7300000000000004</v>
      </c>
      <c r="F126" s="178">
        <f t="shared" si="19"/>
        <v>190.76090000000002</v>
      </c>
      <c r="G126" s="177">
        <f t="shared" si="18"/>
        <v>7.0949999999999998</v>
      </c>
      <c r="H126" s="178">
        <f t="shared" si="20"/>
        <v>286.14134999999999</v>
      </c>
      <c r="I126" s="177">
        <f t="shared" si="21"/>
        <v>11.824999999999999</v>
      </c>
      <c r="J126" s="179">
        <f t="shared" si="22"/>
        <v>476.90224999999992</v>
      </c>
      <c r="K126" s="180"/>
      <c r="L126" s="180"/>
      <c r="M126" s="181">
        <v>4.4000000000000004</v>
      </c>
      <c r="N126" s="181">
        <v>6.6</v>
      </c>
      <c r="P126" s="180"/>
    </row>
    <row r="127" spans="1:16" s="182" customFormat="1" ht="15" x14ac:dyDescent="0.4">
      <c r="A127" s="169">
        <f t="shared" si="0"/>
        <v>116</v>
      </c>
      <c r="B127" s="122" t="s">
        <v>374</v>
      </c>
      <c r="C127" s="123">
        <v>1</v>
      </c>
      <c r="D127" s="176" t="s">
        <v>290</v>
      </c>
      <c r="E127" s="177">
        <f t="shared" si="17"/>
        <v>67.1875</v>
      </c>
      <c r="F127" s="178">
        <f t="shared" si="19"/>
        <v>67.1875</v>
      </c>
      <c r="G127" s="177">
        <f t="shared" si="18"/>
        <v>201.5625</v>
      </c>
      <c r="H127" s="178">
        <f t="shared" si="20"/>
        <v>201.5625</v>
      </c>
      <c r="I127" s="177">
        <f t="shared" si="21"/>
        <v>268.75</v>
      </c>
      <c r="J127" s="179">
        <f t="shared" si="22"/>
        <v>268.75</v>
      </c>
      <c r="K127" s="180"/>
      <c r="L127" s="180"/>
      <c r="M127" s="181">
        <v>62.5</v>
      </c>
      <c r="N127" s="181">
        <v>187.5</v>
      </c>
      <c r="P127" s="180"/>
    </row>
    <row r="128" spans="1:16" s="182" customFormat="1" ht="15" x14ac:dyDescent="0.4">
      <c r="A128" s="169">
        <f t="shared" si="0"/>
        <v>117</v>
      </c>
      <c r="B128" s="122"/>
      <c r="C128" s="123"/>
      <c r="D128" s="176"/>
      <c r="E128" s="177"/>
      <c r="F128" s="178">
        <f t="shared" si="19"/>
        <v>0</v>
      </c>
      <c r="G128" s="177"/>
      <c r="H128" s="178">
        <f t="shared" si="20"/>
        <v>0</v>
      </c>
      <c r="I128" s="177"/>
      <c r="J128" s="179"/>
      <c r="K128" s="180"/>
      <c r="L128" s="180"/>
      <c r="M128" s="181"/>
      <c r="N128" s="181"/>
      <c r="P128" s="180"/>
    </row>
    <row r="129" spans="1:16" s="182" customFormat="1" ht="40.5" x14ac:dyDescent="0.4">
      <c r="A129" s="169">
        <f t="shared" si="0"/>
        <v>118</v>
      </c>
      <c r="B129" s="122" t="s">
        <v>457</v>
      </c>
      <c r="C129" s="123">
        <v>1</v>
      </c>
      <c r="D129" s="176" t="s">
        <v>290</v>
      </c>
      <c r="E129" s="177">
        <f t="shared" si="17"/>
        <v>1982.3</v>
      </c>
      <c r="F129" s="178">
        <f t="shared" si="19"/>
        <v>1982.3</v>
      </c>
      <c r="G129" s="177">
        <f t="shared" si="18"/>
        <v>2005.9499999999998</v>
      </c>
      <c r="H129" s="178">
        <f t="shared" si="20"/>
        <v>2005.9499999999998</v>
      </c>
      <c r="I129" s="177">
        <f t="shared" si="21"/>
        <v>3988.25</v>
      </c>
      <c r="J129" s="179">
        <f t="shared" si="22"/>
        <v>3988.25</v>
      </c>
      <c r="K129" s="180"/>
      <c r="L129" s="180"/>
      <c r="M129" s="181">
        <f>800+1044</f>
        <v>1844</v>
      </c>
      <c r="N129" s="181">
        <f>1200+666</f>
        <v>1866</v>
      </c>
      <c r="P129" s="180"/>
    </row>
    <row r="130" spans="1:16" s="182" customFormat="1" ht="15" x14ac:dyDescent="0.4">
      <c r="A130" s="169">
        <f t="shared" si="0"/>
        <v>119</v>
      </c>
      <c r="B130" s="195" t="s">
        <v>375</v>
      </c>
      <c r="C130" s="123"/>
      <c r="D130" s="176"/>
      <c r="E130" s="177"/>
      <c r="F130" s="178">
        <f t="shared" si="19"/>
        <v>0</v>
      </c>
      <c r="G130" s="177"/>
      <c r="H130" s="178">
        <f t="shared" si="20"/>
        <v>0</v>
      </c>
      <c r="I130" s="177"/>
      <c r="J130" s="179"/>
      <c r="K130" s="180"/>
      <c r="L130" s="180"/>
      <c r="M130" s="181"/>
      <c r="N130" s="181"/>
      <c r="P130" s="180"/>
    </row>
    <row r="131" spans="1:16" s="182" customFormat="1" ht="15" x14ac:dyDescent="0.4">
      <c r="A131" s="169">
        <f t="shared" si="0"/>
        <v>120</v>
      </c>
      <c r="B131" s="122" t="s">
        <v>376</v>
      </c>
      <c r="C131" s="123">
        <v>2549</v>
      </c>
      <c r="D131" s="176" t="s">
        <v>89</v>
      </c>
      <c r="E131" s="177">
        <f t="shared" si="17"/>
        <v>28.944448803452332</v>
      </c>
      <c r="F131" s="178">
        <f t="shared" si="19"/>
        <v>73779.399999999994</v>
      </c>
      <c r="G131" s="177">
        <f t="shared" si="18"/>
        <v>24.805551196547665</v>
      </c>
      <c r="H131" s="178">
        <f t="shared" si="20"/>
        <v>63229.35</v>
      </c>
      <c r="I131" s="177">
        <f t="shared" si="21"/>
        <v>53.75</v>
      </c>
      <c r="J131" s="179">
        <f t="shared" si="22"/>
        <v>137008.75</v>
      </c>
      <c r="K131" s="180"/>
      <c r="L131" s="180"/>
      <c r="M131" s="181">
        <v>26.925068654374265</v>
      </c>
      <c r="N131" s="181">
        <v>23.074931345625735</v>
      </c>
      <c r="P131" s="180"/>
    </row>
    <row r="132" spans="1:16" s="182" customFormat="1" ht="15" x14ac:dyDescent="0.4">
      <c r="A132" s="169">
        <f t="shared" si="0"/>
        <v>121</v>
      </c>
      <c r="B132" s="122" t="s">
        <v>377</v>
      </c>
      <c r="C132" s="123">
        <v>146</v>
      </c>
      <c r="D132" s="176" t="s">
        <v>300</v>
      </c>
      <c r="E132" s="177">
        <f t="shared" si="17"/>
        <v>36.549999999999997</v>
      </c>
      <c r="F132" s="178">
        <f t="shared" si="19"/>
        <v>5336.2999999999993</v>
      </c>
      <c r="G132" s="177">
        <f t="shared" si="18"/>
        <v>17.2</v>
      </c>
      <c r="H132" s="178">
        <f t="shared" si="20"/>
        <v>2511.1999999999998</v>
      </c>
      <c r="I132" s="177">
        <f t="shared" si="21"/>
        <v>53.75</v>
      </c>
      <c r="J132" s="179">
        <f t="shared" si="22"/>
        <v>7847.5</v>
      </c>
      <c r="K132" s="180"/>
      <c r="L132" s="180"/>
      <c r="M132" s="181">
        <v>34</v>
      </c>
      <c r="N132" s="181">
        <v>16</v>
      </c>
      <c r="P132" s="180"/>
    </row>
    <row r="133" spans="1:16" s="182" customFormat="1" ht="15" x14ac:dyDescent="0.4">
      <c r="A133" s="169">
        <f t="shared" si="0"/>
        <v>122</v>
      </c>
      <c r="B133" s="122" t="s">
        <v>378</v>
      </c>
      <c r="C133" s="123">
        <v>146</v>
      </c>
      <c r="D133" s="176" t="s">
        <v>300</v>
      </c>
      <c r="E133" s="177">
        <f t="shared" si="17"/>
        <v>32.25</v>
      </c>
      <c r="F133" s="178">
        <f t="shared" si="19"/>
        <v>4708.5</v>
      </c>
      <c r="G133" s="177">
        <f t="shared" si="18"/>
        <v>21.5</v>
      </c>
      <c r="H133" s="178">
        <f t="shared" si="20"/>
        <v>3139</v>
      </c>
      <c r="I133" s="177">
        <f t="shared" si="21"/>
        <v>53.75</v>
      </c>
      <c r="J133" s="179">
        <f t="shared" si="22"/>
        <v>7847.5</v>
      </c>
      <c r="K133" s="180"/>
      <c r="L133" s="180"/>
      <c r="M133" s="181">
        <v>30</v>
      </c>
      <c r="N133" s="181">
        <v>20</v>
      </c>
      <c r="P133" s="180"/>
    </row>
    <row r="134" spans="1:16" s="182" customFormat="1" ht="15" x14ac:dyDescent="0.4">
      <c r="A134" s="169">
        <f t="shared" si="0"/>
        <v>123</v>
      </c>
      <c r="B134" s="122"/>
      <c r="C134" s="123"/>
      <c r="D134" s="176"/>
      <c r="E134" s="177"/>
      <c r="F134" s="178">
        <f t="shared" si="19"/>
        <v>0</v>
      </c>
      <c r="G134" s="177"/>
      <c r="H134" s="178">
        <f t="shared" si="20"/>
        <v>0</v>
      </c>
      <c r="I134" s="177"/>
      <c r="J134" s="179"/>
      <c r="K134" s="180"/>
      <c r="L134" s="180"/>
      <c r="M134" s="181"/>
      <c r="N134" s="181"/>
      <c r="P134" s="180"/>
    </row>
    <row r="135" spans="1:16" s="182" customFormat="1" ht="15" x14ac:dyDescent="0.4">
      <c r="A135" s="169">
        <f t="shared" si="0"/>
        <v>124</v>
      </c>
      <c r="B135" s="125" t="s">
        <v>546</v>
      </c>
      <c r="C135" s="123">
        <v>28</v>
      </c>
      <c r="D135" s="176" t="s">
        <v>89</v>
      </c>
      <c r="E135" s="177">
        <f t="shared" si="17"/>
        <v>4.7300000000000004</v>
      </c>
      <c r="F135" s="178">
        <f t="shared" si="19"/>
        <v>132.44</v>
      </c>
      <c r="G135" s="177">
        <f t="shared" si="18"/>
        <v>7.0949999999999998</v>
      </c>
      <c r="H135" s="178">
        <f t="shared" si="20"/>
        <v>198.66</v>
      </c>
      <c r="I135" s="177">
        <f t="shared" si="21"/>
        <v>11.824999999999999</v>
      </c>
      <c r="J135" s="179">
        <f t="shared" si="22"/>
        <v>331.09999999999997</v>
      </c>
      <c r="K135" s="180"/>
      <c r="L135" s="180"/>
      <c r="M135" s="181">
        <v>4.4000000000000004</v>
      </c>
      <c r="N135" s="181">
        <v>6.6</v>
      </c>
      <c r="P135" s="180"/>
    </row>
    <row r="136" spans="1:16" s="182" customFormat="1" ht="27" x14ac:dyDescent="0.4">
      <c r="A136" s="169">
        <f t="shared" si="0"/>
        <v>125</v>
      </c>
      <c r="B136" s="125" t="s">
        <v>547</v>
      </c>
      <c r="C136" s="123">
        <v>1.9851851851851852</v>
      </c>
      <c r="D136" s="176" t="s">
        <v>292</v>
      </c>
      <c r="E136" s="177">
        <f t="shared" si="17"/>
        <v>402.48</v>
      </c>
      <c r="F136" s="178">
        <f t="shared" si="19"/>
        <v>798.99733333333336</v>
      </c>
      <c r="G136" s="177">
        <f t="shared" si="18"/>
        <v>603.72</v>
      </c>
      <c r="H136" s="178">
        <f t="shared" si="20"/>
        <v>1198.4960000000001</v>
      </c>
      <c r="I136" s="177">
        <f t="shared" si="21"/>
        <v>1006.2</v>
      </c>
      <c r="J136" s="179">
        <f t="shared" si="22"/>
        <v>1997.4933333333333</v>
      </c>
      <c r="K136" s="180"/>
      <c r="L136" s="180"/>
      <c r="M136" s="181">
        <v>374.40000000000003</v>
      </c>
      <c r="N136" s="181">
        <v>561.6</v>
      </c>
      <c r="P136" s="180"/>
    </row>
    <row r="137" spans="1:16" s="182" customFormat="1" ht="15" x14ac:dyDescent="0.4">
      <c r="A137" s="169">
        <f t="shared" si="0"/>
        <v>126</v>
      </c>
      <c r="B137" s="198" t="s">
        <v>548</v>
      </c>
      <c r="C137" s="123">
        <v>3.7222222222222223</v>
      </c>
      <c r="D137" s="176" t="s">
        <v>292</v>
      </c>
      <c r="E137" s="177">
        <f t="shared" si="17"/>
        <v>442.72800000000007</v>
      </c>
      <c r="F137" s="178">
        <f t="shared" si="19"/>
        <v>1647.9320000000002</v>
      </c>
      <c r="G137" s="177">
        <f t="shared" si="18"/>
        <v>603.72</v>
      </c>
      <c r="H137" s="178">
        <f t="shared" si="20"/>
        <v>2247.1800000000003</v>
      </c>
      <c r="I137" s="177">
        <f t="shared" si="21"/>
        <v>1046.4480000000001</v>
      </c>
      <c r="J137" s="179">
        <f t="shared" si="22"/>
        <v>3895.1120000000005</v>
      </c>
      <c r="K137" s="180"/>
      <c r="L137" s="180"/>
      <c r="M137" s="181">
        <v>411.84000000000009</v>
      </c>
      <c r="N137" s="181">
        <v>561.6</v>
      </c>
      <c r="P137" s="180"/>
    </row>
    <row r="138" spans="1:16" s="182" customFormat="1" ht="15" x14ac:dyDescent="0.4">
      <c r="A138" s="169">
        <f t="shared" si="0"/>
        <v>127</v>
      </c>
      <c r="B138" s="196"/>
      <c r="C138" s="187" t="s">
        <v>549</v>
      </c>
      <c r="D138" s="188"/>
      <c r="E138" s="194"/>
      <c r="F138" s="178">
        <f t="shared" si="19"/>
        <v>0</v>
      </c>
      <c r="G138" s="194"/>
      <c r="H138" s="178">
        <f t="shared" si="20"/>
        <v>0</v>
      </c>
      <c r="I138" s="177"/>
      <c r="J138" s="179"/>
      <c r="K138" s="180"/>
      <c r="L138" s="180"/>
      <c r="M138" s="181"/>
      <c r="N138" s="181"/>
      <c r="P138" s="180"/>
    </row>
    <row r="139" spans="1:16" s="182" customFormat="1" ht="40.5" x14ac:dyDescent="0.4">
      <c r="A139" s="169">
        <f t="shared" si="0"/>
        <v>128</v>
      </c>
      <c r="B139" s="122" t="s">
        <v>550</v>
      </c>
      <c r="C139" s="123">
        <v>100</v>
      </c>
      <c r="D139" s="176" t="s">
        <v>300</v>
      </c>
      <c r="E139" s="177">
        <f t="shared" ref="E139:E200" si="23">M139*$M$8</f>
        <v>107.5</v>
      </c>
      <c r="F139" s="178">
        <f t="shared" si="19"/>
        <v>10750</v>
      </c>
      <c r="G139" s="177">
        <f t="shared" ref="G139:G200" si="24">N139*$N$8</f>
        <v>161.25</v>
      </c>
      <c r="H139" s="178">
        <f t="shared" si="20"/>
        <v>16125</v>
      </c>
      <c r="I139" s="177">
        <f t="shared" si="21"/>
        <v>268.75</v>
      </c>
      <c r="J139" s="179">
        <f t="shared" si="22"/>
        <v>26875</v>
      </c>
      <c r="K139" s="180"/>
      <c r="L139" s="180"/>
      <c r="M139" s="181">
        <v>100</v>
      </c>
      <c r="N139" s="181">
        <v>150</v>
      </c>
      <c r="P139" s="180"/>
    </row>
    <row r="140" spans="1:16" s="182" customFormat="1" ht="15" x14ac:dyDescent="0.4">
      <c r="A140" s="169">
        <f t="shared" si="0"/>
        <v>129</v>
      </c>
      <c r="B140" s="186"/>
      <c r="C140" s="187"/>
      <c r="D140" s="188"/>
      <c r="E140" s="189"/>
      <c r="F140" s="178">
        <f t="shared" si="19"/>
        <v>0</v>
      </c>
      <c r="G140" s="189"/>
      <c r="H140" s="178">
        <f t="shared" si="20"/>
        <v>0</v>
      </c>
      <c r="I140" s="177"/>
      <c r="J140" s="179"/>
      <c r="K140" s="180"/>
      <c r="L140" s="180"/>
      <c r="M140" s="181"/>
      <c r="N140" s="181"/>
      <c r="P140" s="180"/>
    </row>
    <row r="141" spans="1:16" s="182" customFormat="1" ht="15" x14ac:dyDescent="0.4">
      <c r="A141" s="169">
        <f t="shared" si="0"/>
        <v>130</v>
      </c>
      <c r="B141" s="152" t="s">
        <v>551</v>
      </c>
      <c r="C141" s="123">
        <v>82</v>
      </c>
      <c r="D141" s="176" t="s">
        <v>300</v>
      </c>
      <c r="E141" s="177">
        <f t="shared" si="23"/>
        <v>107.5</v>
      </c>
      <c r="F141" s="178">
        <f t="shared" si="19"/>
        <v>8815</v>
      </c>
      <c r="G141" s="177">
        <f t="shared" si="24"/>
        <v>161.25</v>
      </c>
      <c r="H141" s="178">
        <f t="shared" si="20"/>
        <v>13222.5</v>
      </c>
      <c r="I141" s="177">
        <f t="shared" si="21"/>
        <v>268.75</v>
      </c>
      <c r="J141" s="179">
        <f t="shared" si="22"/>
        <v>22037.5</v>
      </c>
      <c r="K141" s="180"/>
      <c r="L141" s="180"/>
      <c r="M141" s="181">
        <v>100</v>
      </c>
      <c r="N141" s="181">
        <v>150</v>
      </c>
      <c r="P141" s="180"/>
    </row>
    <row r="142" spans="1:16" s="182" customFormat="1" ht="15" x14ac:dyDescent="0.4">
      <c r="A142" s="169">
        <f t="shared" si="0"/>
        <v>131</v>
      </c>
      <c r="B142" s="152"/>
      <c r="C142" s="123"/>
      <c r="D142" s="176"/>
      <c r="E142" s="177"/>
      <c r="F142" s="178">
        <f t="shared" si="19"/>
        <v>0</v>
      </c>
      <c r="G142" s="177"/>
      <c r="H142" s="178">
        <f t="shared" si="20"/>
        <v>0</v>
      </c>
      <c r="I142" s="177"/>
      <c r="J142" s="179"/>
      <c r="K142" s="180"/>
      <c r="L142" s="180"/>
      <c r="M142" s="181"/>
      <c r="N142" s="181"/>
      <c r="P142" s="180"/>
    </row>
    <row r="143" spans="1:16" s="182" customFormat="1" ht="15" x14ac:dyDescent="0.4">
      <c r="A143" s="169">
        <f t="shared" si="0"/>
        <v>132</v>
      </c>
      <c r="B143" s="192" t="s">
        <v>552</v>
      </c>
      <c r="C143" s="123"/>
      <c r="D143" s="176"/>
      <c r="E143" s="177"/>
      <c r="F143" s="178">
        <f t="shared" si="19"/>
        <v>0</v>
      </c>
      <c r="G143" s="177"/>
      <c r="H143" s="178">
        <f t="shared" si="20"/>
        <v>0</v>
      </c>
      <c r="I143" s="177"/>
      <c r="J143" s="179"/>
      <c r="K143" s="180"/>
      <c r="L143" s="180"/>
      <c r="M143" s="181"/>
      <c r="N143" s="181"/>
      <c r="P143" s="180"/>
    </row>
    <row r="144" spans="1:16" s="182" customFormat="1" ht="15" x14ac:dyDescent="0.4">
      <c r="A144" s="169">
        <f t="shared" si="0"/>
        <v>133</v>
      </c>
      <c r="B144" s="152" t="s">
        <v>553</v>
      </c>
      <c r="C144" s="123"/>
      <c r="D144" s="176"/>
      <c r="E144" s="177"/>
      <c r="F144" s="178">
        <f t="shared" si="19"/>
        <v>0</v>
      </c>
      <c r="G144" s="177"/>
      <c r="H144" s="178">
        <f t="shared" si="20"/>
        <v>0</v>
      </c>
      <c r="I144" s="177"/>
      <c r="J144" s="179"/>
      <c r="K144" s="180"/>
      <c r="L144" s="180"/>
      <c r="M144" s="181"/>
      <c r="N144" s="181"/>
      <c r="P144" s="180"/>
    </row>
    <row r="145" spans="1:16" s="182" customFormat="1" ht="15" x14ac:dyDescent="0.4">
      <c r="A145" s="169">
        <f t="shared" si="0"/>
        <v>134</v>
      </c>
      <c r="B145" s="152" t="s">
        <v>554</v>
      </c>
      <c r="C145" s="123">
        <v>281</v>
      </c>
      <c r="D145" s="176" t="s">
        <v>292</v>
      </c>
      <c r="E145" s="177"/>
      <c r="F145" s="178">
        <f t="shared" si="19"/>
        <v>0</v>
      </c>
      <c r="G145" s="177">
        <f t="shared" si="24"/>
        <v>26.875</v>
      </c>
      <c r="H145" s="178">
        <f t="shared" si="20"/>
        <v>7551.875</v>
      </c>
      <c r="I145" s="177">
        <f t="shared" si="21"/>
        <v>26.875</v>
      </c>
      <c r="J145" s="179">
        <f t="shared" si="22"/>
        <v>7551.875</v>
      </c>
      <c r="K145" s="180"/>
      <c r="L145" s="180"/>
      <c r="M145" s="181">
        <v>0</v>
      </c>
      <c r="N145" s="181">
        <v>25</v>
      </c>
      <c r="P145" s="180"/>
    </row>
    <row r="146" spans="1:16" s="182" customFormat="1" ht="15" x14ac:dyDescent="0.4">
      <c r="A146" s="169">
        <f t="shared" si="0"/>
        <v>135</v>
      </c>
      <c r="B146" s="152" t="s">
        <v>555</v>
      </c>
      <c r="C146" s="123">
        <v>210</v>
      </c>
      <c r="D146" s="176" t="s">
        <v>292</v>
      </c>
      <c r="E146" s="177"/>
      <c r="F146" s="178">
        <f t="shared" si="19"/>
        <v>0</v>
      </c>
      <c r="G146" s="177">
        <f t="shared" si="24"/>
        <v>48.375</v>
      </c>
      <c r="H146" s="178">
        <f t="shared" si="20"/>
        <v>10158.75</v>
      </c>
      <c r="I146" s="177">
        <f t="shared" si="21"/>
        <v>48.375</v>
      </c>
      <c r="J146" s="179">
        <f t="shared" si="22"/>
        <v>10158.75</v>
      </c>
      <c r="K146" s="180"/>
      <c r="L146" s="180"/>
      <c r="M146" s="181">
        <v>0</v>
      </c>
      <c r="N146" s="181">
        <v>45</v>
      </c>
      <c r="P146" s="180"/>
    </row>
    <row r="147" spans="1:16" s="182" customFormat="1" ht="15" x14ac:dyDescent="0.4">
      <c r="A147" s="169">
        <f t="shared" si="0"/>
        <v>136</v>
      </c>
      <c r="B147" s="152" t="s">
        <v>556</v>
      </c>
      <c r="C147" s="123">
        <v>210</v>
      </c>
      <c r="D147" s="176" t="s">
        <v>292</v>
      </c>
      <c r="E147" s="177">
        <f t="shared" si="23"/>
        <v>378.4</v>
      </c>
      <c r="F147" s="178">
        <f t="shared" si="19"/>
        <v>79464</v>
      </c>
      <c r="G147" s="177">
        <f t="shared" si="24"/>
        <v>440.75</v>
      </c>
      <c r="H147" s="178">
        <f t="shared" si="20"/>
        <v>92557.5</v>
      </c>
      <c r="I147" s="177">
        <f t="shared" si="21"/>
        <v>819.15</v>
      </c>
      <c r="J147" s="179">
        <f t="shared" si="22"/>
        <v>172021.5</v>
      </c>
      <c r="K147" s="180"/>
      <c r="L147" s="180"/>
      <c r="M147" s="181">
        <v>352</v>
      </c>
      <c r="N147" s="181">
        <v>410</v>
      </c>
      <c r="P147" s="180"/>
    </row>
    <row r="148" spans="1:16" s="182" customFormat="1" ht="15" x14ac:dyDescent="0.4">
      <c r="A148" s="169">
        <f t="shared" si="0"/>
        <v>137</v>
      </c>
      <c r="B148" s="152" t="s">
        <v>557</v>
      </c>
      <c r="C148" s="123">
        <v>58</v>
      </c>
      <c r="D148" s="176" t="s">
        <v>292</v>
      </c>
      <c r="E148" s="177">
        <f t="shared" si="23"/>
        <v>12.899999999999999</v>
      </c>
      <c r="F148" s="178">
        <f t="shared" si="19"/>
        <v>748.19999999999993</v>
      </c>
      <c r="G148" s="177">
        <f t="shared" si="24"/>
        <v>19.349999999999998</v>
      </c>
      <c r="H148" s="178">
        <f t="shared" si="20"/>
        <v>1122.3</v>
      </c>
      <c r="I148" s="177">
        <f t="shared" si="21"/>
        <v>32.25</v>
      </c>
      <c r="J148" s="179">
        <f t="shared" si="22"/>
        <v>1870.5</v>
      </c>
      <c r="K148" s="180"/>
      <c r="L148" s="180"/>
      <c r="M148" s="181">
        <v>12</v>
      </c>
      <c r="N148" s="181">
        <v>18</v>
      </c>
      <c r="P148" s="180"/>
    </row>
    <row r="149" spans="1:16" s="182" customFormat="1" ht="15" x14ac:dyDescent="0.4">
      <c r="A149" s="169">
        <f t="shared" si="0"/>
        <v>138</v>
      </c>
      <c r="B149" s="152" t="s">
        <v>558</v>
      </c>
      <c r="C149" s="123">
        <v>1848</v>
      </c>
      <c r="D149" s="176" t="s">
        <v>89</v>
      </c>
      <c r="E149" s="177">
        <f t="shared" si="23"/>
        <v>6.4499999999999993</v>
      </c>
      <c r="F149" s="178">
        <f t="shared" si="19"/>
        <v>11919.599999999999</v>
      </c>
      <c r="G149" s="177">
        <f t="shared" si="24"/>
        <v>25.799999999999997</v>
      </c>
      <c r="H149" s="178">
        <f t="shared" si="20"/>
        <v>47678.399999999994</v>
      </c>
      <c r="I149" s="177">
        <f t="shared" si="21"/>
        <v>32.25</v>
      </c>
      <c r="J149" s="179">
        <f t="shared" si="22"/>
        <v>59598</v>
      </c>
      <c r="K149" s="180"/>
      <c r="L149" s="180"/>
      <c r="M149" s="181">
        <v>6</v>
      </c>
      <c r="N149" s="181">
        <v>24</v>
      </c>
      <c r="P149" s="180"/>
    </row>
    <row r="150" spans="1:16" s="182" customFormat="1" ht="15" x14ac:dyDescent="0.4">
      <c r="A150" s="169">
        <f t="shared" si="0"/>
        <v>139</v>
      </c>
      <c r="B150" s="152" t="s">
        <v>559</v>
      </c>
      <c r="C150" s="123">
        <v>616</v>
      </c>
      <c r="D150" s="176" t="s">
        <v>300</v>
      </c>
      <c r="E150" s="177">
        <f t="shared" si="23"/>
        <v>64.5</v>
      </c>
      <c r="F150" s="178">
        <f t="shared" si="19"/>
        <v>39732</v>
      </c>
      <c r="G150" s="177">
        <f t="shared" si="24"/>
        <v>123.625</v>
      </c>
      <c r="H150" s="178">
        <f t="shared" si="20"/>
        <v>76153</v>
      </c>
      <c r="I150" s="177">
        <f t="shared" si="21"/>
        <v>188.125</v>
      </c>
      <c r="J150" s="179">
        <f t="shared" si="22"/>
        <v>115885</v>
      </c>
      <c r="K150" s="180"/>
      <c r="L150" s="180"/>
      <c r="M150" s="181">
        <v>60</v>
      </c>
      <c r="N150" s="181">
        <v>115</v>
      </c>
      <c r="P150" s="180"/>
    </row>
    <row r="151" spans="1:16" s="182" customFormat="1" ht="15" x14ac:dyDescent="0.4">
      <c r="A151" s="169">
        <f t="shared" si="0"/>
        <v>140</v>
      </c>
      <c r="B151" s="152"/>
      <c r="C151" s="123"/>
      <c r="D151" s="176"/>
      <c r="E151" s="177"/>
      <c r="F151" s="178">
        <f t="shared" si="19"/>
        <v>0</v>
      </c>
      <c r="G151" s="177"/>
      <c r="H151" s="178">
        <f t="shared" si="20"/>
        <v>0</v>
      </c>
      <c r="I151" s="177"/>
      <c r="J151" s="179"/>
      <c r="K151" s="180"/>
      <c r="L151" s="180"/>
      <c r="M151" s="181"/>
      <c r="N151" s="181"/>
      <c r="P151" s="180"/>
    </row>
    <row r="152" spans="1:16" s="182" customFormat="1" ht="15" x14ac:dyDescent="0.4">
      <c r="A152" s="169">
        <f t="shared" si="0"/>
        <v>141</v>
      </c>
      <c r="B152" s="192" t="s">
        <v>560</v>
      </c>
      <c r="C152" s="123"/>
      <c r="D152" s="176"/>
      <c r="E152" s="177"/>
      <c r="F152" s="178">
        <f t="shared" si="19"/>
        <v>0</v>
      </c>
      <c r="G152" s="177"/>
      <c r="H152" s="178">
        <f t="shared" si="20"/>
        <v>0</v>
      </c>
      <c r="I152" s="177"/>
      <c r="J152" s="179"/>
      <c r="K152" s="180"/>
      <c r="L152" s="180"/>
      <c r="M152" s="181"/>
      <c r="N152" s="181"/>
      <c r="P152" s="180"/>
    </row>
    <row r="153" spans="1:16" s="182" customFormat="1" ht="15" x14ac:dyDescent="0.4">
      <c r="A153" s="169">
        <f t="shared" si="0"/>
        <v>142</v>
      </c>
      <c r="B153" s="152" t="s">
        <v>561</v>
      </c>
      <c r="C153" s="123"/>
      <c r="D153" s="176"/>
      <c r="E153" s="177"/>
      <c r="F153" s="178">
        <f t="shared" si="19"/>
        <v>0</v>
      </c>
      <c r="G153" s="177"/>
      <c r="H153" s="178">
        <f t="shared" si="20"/>
        <v>0</v>
      </c>
      <c r="I153" s="177"/>
      <c r="J153" s="179"/>
      <c r="K153" s="180"/>
      <c r="L153" s="180"/>
      <c r="M153" s="181"/>
      <c r="N153" s="181"/>
      <c r="P153" s="180"/>
    </row>
    <row r="154" spans="1:16" s="182" customFormat="1" ht="15" x14ac:dyDescent="0.4">
      <c r="A154" s="169">
        <f t="shared" si="0"/>
        <v>143</v>
      </c>
      <c r="B154" s="199" t="s">
        <v>562</v>
      </c>
      <c r="C154" s="123">
        <v>16</v>
      </c>
      <c r="D154" s="176" t="s">
        <v>290</v>
      </c>
      <c r="E154" s="177">
        <f t="shared" si="23"/>
        <v>1290</v>
      </c>
      <c r="F154" s="178">
        <f t="shared" si="19"/>
        <v>20640</v>
      </c>
      <c r="G154" s="177">
        <f t="shared" si="24"/>
        <v>860</v>
      </c>
      <c r="H154" s="178">
        <f t="shared" si="20"/>
        <v>13760</v>
      </c>
      <c r="I154" s="177">
        <f t="shared" si="21"/>
        <v>2150</v>
      </c>
      <c r="J154" s="179">
        <f t="shared" si="22"/>
        <v>34400</v>
      </c>
      <c r="K154" s="180"/>
      <c r="L154" s="180"/>
      <c r="M154" s="181">
        <v>1200</v>
      </c>
      <c r="N154" s="181">
        <v>800</v>
      </c>
      <c r="P154" s="180"/>
    </row>
    <row r="155" spans="1:16" s="182" customFormat="1" ht="15" x14ac:dyDescent="0.4">
      <c r="A155" s="169">
        <f t="shared" si="0"/>
        <v>144</v>
      </c>
      <c r="B155" s="199" t="s">
        <v>563</v>
      </c>
      <c r="C155" s="123">
        <v>152</v>
      </c>
      <c r="D155" s="176" t="s">
        <v>300</v>
      </c>
      <c r="E155" s="177">
        <f t="shared" si="23"/>
        <v>8.6</v>
      </c>
      <c r="F155" s="178">
        <f t="shared" si="19"/>
        <v>1307.2</v>
      </c>
      <c r="G155" s="177">
        <f t="shared" si="24"/>
        <v>12.899999999999999</v>
      </c>
      <c r="H155" s="178">
        <f t="shared" si="20"/>
        <v>1960.7999999999997</v>
      </c>
      <c r="I155" s="177">
        <f t="shared" si="21"/>
        <v>21.5</v>
      </c>
      <c r="J155" s="179">
        <f t="shared" si="22"/>
        <v>3268</v>
      </c>
      <c r="K155" s="180"/>
      <c r="L155" s="180"/>
      <c r="M155" s="181">
        <v>8</v>
      </c>
      <c r="N155" s="181">
        <v>12</v>
      </c>
      <c r="P155" s="180"/>
    </row>
    <row r="156" spans="1:16" s="182" customFormat="1" ht="15" x14ac:dyDescent="0.4">
      <c r="A156" s="169">
        <f t="shared" si="0"/>
        <v>145</v>
      </c>
      <c r="B156" s="199"/>
      <c r="C156" s="123"/>
      <c r="D156" s="176"/>
      <c r="E156" s="177"/>
      <c r="F156" s="178">
        <f t="shared" si="19"/>
        <v>0</v>
      </c>
      <c r="G156" s="177"/>
      <c r="H156" s="178">
        <f t="shared" si="20"/>
        <v>0</v>
      </c>
      <c r="I156" s="177"/>
      <c r="J156" s="179"/>
      <c r="K156" s="180"/>
      <c r="L156" s="180"/>
      <c r="M156" s="181"/>
      <c r="N156" s="181"/>
      <c r="P156" s="180"/>
    </row>
    <row r="157" spans="1:16" s="182" customFormat="1" ht="15" x14ac:dyDescent="0.4">
      <c r="A157" s="169">
        <f t="shared" si="0"/>
        <v>146</v>
      </c>
      <c r="B157" s="192" t="s">
        <v>564</v>
      </c>
      <c r="C157" s="123"/>
      <c r="D157" s="176"/>
      <c r="E157" s="177"/>
      <c r="F157" s="178">
        <f t="shared" si="19"/>
        <v>0</v>
      </c>
      <c r="G157" s="177"/>
      <c r="H157" s="178">
        <f t="shared" si="20"/>
        <v>0</v>
      </c>
      <c r="I157" s="177"/>
      <c r="J157" s="179"/>
      <c r="K157" s="180"/>
      <c r="L157" s="180"/>
      <c r="M157" s="181"/>
      <c r="N157" s="181"/>
      <c r="P157" s="180"/>
    </row>
    <row r="158" spans="1:16" s="182" customFormat="1" ht="15" x14ac:dyDescent="0.4">
      <c r="A158" s="169">
        <f t="shared" si="0"/>
        <v>147</v>
      </c>
      <c r="B158" s="152" t="s">
        <v>565</v>
      </c>
      <c r="C158" s="123">
        <v>4</v>
      </c>
      <c r="D158" s="176" t="s">
        <v>290</v>
      </c>
      <c r="E158" s="177">
        <f t="shared" si="23"/>
        <v>645</v>
      </c>
      <c r="F158" s="178">
        <f t="shared" si="19"/>
        <v>2580</v>
      </c>
      <c r="G158" s="177">
        <f t="shared" si="24"/>
        <v>430</v>
      </c>
      <c r="H158" s="178">
        <f t="shared" si="20"/>
        <v>1720</v>
      </c>
      <c r="I158" s="177">
        <f t="shared" si="21"/>
        <v>1075</v>
      </c>
      <c r="J158" s="179">
        <f t="shared" si="22"/>
        <v>4300</v>
      </c>
      <c r="K158" s="180"/>
      <c r="L158" s="180"/>
      <c r="M158" s="181">
        <v>600</v>
      </c>
      <c r="N158" s="181">
        <v>400</v>
      </c>
      <c r="P158" s="180"/>
    </row>
    <row r="159" spans="1:16" s="182" customFormat="1" ht="15" x14ac:dyDescent="0.4">
      <c r="A159" s="169">
        <f t="shared" si="0"/>
        <v>148</v>
      </c>
      <c r="B159" s="152"/>
      <c r="C159" s="123"/>
      <c r="D159" s="176"/>
      <c r="E159" s="177"/>
      <c r="F159" s="178">
        <f t="shared" si="19"/>
        <v>0</v>
      </c>
      <c r="G159" s="177"/>
      <c r="H159" s="178">
        <f t="shared" si="20"/>
        <v>0</v>
      </c>
      <c r="I159" s="177"/>
      <c r="J159" s="179"/>
      <c r="K159" s="180"/>
      <c r="L159" s="180"/>
      <c r="M159" s="181"/>
      <c r="N159" s="181"/>
      <c r="P159" s="180"/>
    </row>
    <row r="160" spans="1:16" s="182" customFormat="1" ht="15" x14ac:dyDescent="0.4">
      <c r="A160" s="169">
        <f t="shared" si="0"/>
        <v>149</v>
      </c>
      <c r="B160" s="152" t="s">
        <v>566</v>
      </c>
      <c r="C160" s="123"/>
      <c r="D160" s="176"/>
      <c r="E160" s="177"/>
      <c r="F160" s="178">
        <f t="shared" si="19"/>
        <v>0</v>
      </c>
      <c r="G160" s="177"/>
      <c r="H160" s="178">
        <f t="shared" si="20"/>
        <v>0</v>
      </c>
      <c r="I160" s="177"/>
      <c r="J160" s="179"/>
      <c r="K160" s="180"/>
      <c r="L160" s="180"/>
      <c r="M160" s="181"/>
      <c r="N160" s="181"/>
      <c r="P160" s="180"/>
    </row>
    <row r="161" spans="1:16" s="182" customFormat="1" ht="15" x14ac:dyDescent="0.4">
      <c r="A161" s="169">
        <f t="shared" si="0"/>
        <v>150</v>
      </c>
      <c r="B161" s="152" t="s">
        <v>567</v>
      </c>
      <c r="C161" s="123"/>
      <c r="D161" s="176"/>
      <c r="E161" s="177"/>
      <c r="F161" s="178">
        <f t="shared" si="19"/>
        <v>0</v>
      </c>
      <c r="G161" s="177"/>
      <c r="H161" s="178">
        <f t="shared" si="20"/>
        <v>0</v>
      </c>
      <c r="I161" s="177"/>
      <c r="J161" s="179"/>
      <c r="K161" s="180"/>
      <c r="L161" s="180"/>
      <c r="M161" s="181"/>
      <c r="N161" s="181"/>
      <c r="P161" s="180"/>
    </row>
    <row r="162" spans="1:16" s="182" customFormat="1" ht="27" x14ac:dyDescent="0.4">
      <c r="A162" s="169">
        <f t="shared" si="0"/>
        <v>151</v>
      </c>
      <c r="B162" s="152" t="s">
        <v>568</v>
      </c>
      <c r="C162" s="123">
        <v>30</v>
      </c>
      <c r="D162" s="176" t="s">
        <v>569</v>
      </c>
      <c r="E162" s="177">
        <f t="shared" si="23"/>
        <v>286.66666666666703</v>
      </c>
      <c r="F162" s="178">
        <f t="shared" si="19"/>
        <v>8600.0000000000109</v>
      </c>
      <c r="G162" s="177">
        <f t="shared" si="24"/>
        <v>429.99999999999994</v>
      </c>
      <c r="H162" s="178">
        <f t="shared" si="20"/>
        <v>12899.999999999998</v>
      </c>
      <c r="I162" s="177">
        <f t="shared" si="21"/>
        <v>716.66666666666697</v>
      </c>
      <c r="J162" s="179">
        <f t="shared" si="22"/>
        <v>21500.000000000007</v>
      </c>
      <c r="K162" s="180"/>
      <c r="L162" s="180"/>
      <c r="M162" s="181">
        <v>266.66666666666703</v>
      </c>
      <c r="N162" s="181">
        <v>399.99999999999994</v>
      </c>
      <c r="P162" s="180"/>
    </row>
    <row r="163" spans="1:16" s="182" customFormat="1" ht="15" x14ac:dyDescent="0.4">
      <c r="A163" s="169">
        <f t="shared" si="0"/>
        <v>152</v>
      </c>
      <c r="B163" s="152" t="s">
        <v>570</v>
      </c>
      <c r="C163" s="123">
        <v>3126</v>
      </c>
      <c r="D163" s="176" t="s">
        <v>300</v>
      </c>
      <c r="E163" s="177">
        <f t="shared" si="23"/>
        <v>10.75</v>
      </c>
      <c r="F163" s="178">
        <f t="shared" si="19"/>
        <v>33604.5</v>
      </c>
      <c r="G163" s="177">
        <f t="shared" si="24"/>
        <v>16.125</v>
      </c>
      <c r="H163" s="178">
        <f t="shared" si="20"/>
        <v>50406.75</v>
      </c>
      <c r="I163" s="177">
        <f t="shared" si="21"/>
        <v>26.875</v>
      </c>
      <c r="J163" s="179">
        <f t="shared" si="22"/>
        <v>84011.25</v>
      </c>
      <c r="K163" s="180"/>
      <c r="L163" s="180"/>
      <c r="M163" s="181">
        <v>10</v>
      </c>
      <c r="N163" s="181">
        <v>15</v>
      </c>
      <c r="P163" s="180"/>
    </row>
    <row r="164" spans="1:16" s="182" customFormat="1" ht="15" x14ac:dyDescent="0.4">
      <c r="A164" s="169">
        <f t="shared" si="0"/>
        <v>153</v>
      </c>
      <c r="B164" s="152" t="s">
        <v>571</v>
      </c>
      <c r="C164" s="123">
        <v>1</v>
      </c>
      <c r="D164" s="176" t="s">
        <v>290</v>
      </c>
      <c r="E164" s="177">
        <f t="shared" si="23"/>
        <v>2150</v>
      </c>
      <c r="F164" s="178">
        <f t="shared" si="19"/>
        <v>2150</v>
      </c>
      <c r="G164" s="177">
        <f t="shared" si="24"/>
        <v>3225</v>
      </c>
      <c r="H164" s="178">
        <f t="shared" si="20"/>
        <v>3225</v>
      </c>
      <c r="I164" s="177">
        <f t="shared" si="21"/>
        <v>5375</v>
      </c>
      <c r="J164" s="179">
        <f t="shared" si="22"/>
        <v>5375</v>
      </c>
      <c r="K164" s="180"/>
      <c r="L164" s="180"/>
      <c r="M164" s="181">
        <v>2000</v>
      </c>
      <c r="N164" s="181">
        <v>3000</v>
      </c>
      <c r="P164" s="180"/>
    </row>
    <row r="165" spans="1:16" s="182" customFormat="1" ht="15" x14ac:dyDescent="0.4">
      <c r="A165" s="169">
        <f t="shared" si="0"/>
        <v>154</v>
      </c>
      <c r="B165" s="152" t="s">
        <v>572</v>
      </c>
      <c r="C165" s="123">
        <v>1</v>
      </c>
      <c r="D165" s="176" t="s">
        <v>290</v>
      </c>
      <c r="E165" s="177">
        <f t="shared" si="23"/>
        <v>2150</v>
      </c>
      <c r="F165" s="178">
        <f t="shared" si="19"/>
        <v>2150</v>
      </c>
      <c r="G165" s="177">
        <f t="shared" si="24"/>
        <v>3225</v>
      </c>
      <c r="H165" s="178">
        <f t="shared" si="20"/>
        <v>3225</v>
      </c>
      <c r="I165" s="177">
        <f t="shared" si="21"/>
        <v>5375</v>
      </c>
      <c r="J165" s="179">
        <f t="shared" si="22"/>
        <v>5375</v>
      </c>
      <c r="K165" s="180"/>
      <c r="L165" s="180"/>
      <c r="M165" s="181">
        <v>2000</v>
      </c>
      <c r="N165" s="181">
        <v>3000</v>
      </c>
      <c r="P165" s="180"/>
    </row>
    <row r="166" spans="1:16" s="182" customFormat="1" ht="15" x14ac:dyDescent="0.4">
      <c r="A166" s="169">
        <f t="shared" si="0"/>
        <v>155</v>
      </c>
      <c r="B166" s="152" t="s">
        <v>573</v>
      </c>
      <c r="C166" s="123">
        <v>21</v>
      </c>
      <c r="D166" s="176" t="s">
        <v>290</v>
      </c>
      <c r="E166" s="177">
        <f t="shared" si="23"/>
        <v>645</v>
      </c>
      <c r="F166" s="178">
        <f t="shared" si="19"/>
        <v>13545</v>
      </c>
      <c r="G166" s="177">
        <f t="shared" si="24"/>
        <v>967.5</v>
      </c>
      <c r="H166" s="178">
        <f t="shared" si="20"/>
        <v>20317.5</v>
      </c>
      <c r="I166" s="177">
        <f t="shared" si="21"/>
        <v>1612.5</v>
      </c>
      <c r="J166" s="179">
        <f t="shared" si="22"/>
        <v>33862.5</v>
      </c>
      <c r="K166" s="180"/>
      <c r="L166" s="180"/>
      <c r="M166" s="181">
        <v>600</v>
      </c>
      <c r="N166" s="181">
        <v>900</v>
      </c>
      <c r="P166" s="180"/>
    </row>
    <row r="167" spans="1:16" s="182" customFormat="1" ht="15" x14ac:dyDescent="0.4">
      <c r="A167" s="169">
        <f t="shared" si="0"/>
        <v>156</v>
      </c>
      <c r="B167" s="152"/>
      <c r="C167" s="123"/>
      <c r="D167" s="176"/>
      <c r="E167" s="177"/>
      <c r="F167" s="178">
        <f t="shared" si="19"/>
        <v>0</v>
      </c>
      <c r="G167" s="177"/>
      <c r="H167" s="178">
        <f t="shared" si="20"/>
        <v>0</v>
      </c>
      <c r="I167" s="177"/>
      <c r="J167" s="179"/>
      <c r="K167" s="180"/>
      <c r="L167" s="180"/>
      <c r="M167" s="181"/>
      <c r="N167" s="181"/>
      <c r="P167" s="180"/>
    </row>
    <row r="168" spans="1:16" s="182" customFormat="1" ht="15" x14ac:dyDescent="0.4">
      <c r="A168" s="169">
        <f t="shared" si="0"/>
        <v>157</v>
      </c>
      <c r="B168" s="192" t="s">
        <v>574</v>
      </c>
      <c r="C168" s="123"/>
      <c r="D168" s="176"/>
      <c r="E168" s="177"/>
      <c r="F168" s="178">
        <f t="shared" si="19"/>
        <v>0</v>
      </c>
      <c r="G168" s="177"/>
      <c r="H168" s="178">
        <f t="shared" si="20"/>
        <v>0</v>
      </c>
      <c r="I168" s="177"/>
      <c r="J168" s="179"/>
      <c r="K168" s="180"/>
      <c r="L168" s="180"/>
      <c r="M168" s="181"/>
      <c r="N168" s="181"/>
      <c r="P168" s="180"/>
    </row>
    <row r="169" spans="1:16" s="182" customFormat="1" ht="15" x14ac:dyDescent="0.4">
      <c r="A169" s="169">
        <f t="shared" si="0"/>
        <v>158</v>
      </c>
      <c r="B169" s="192" t="s">
        <v>575</v>
      </c>
      <c r="C169" s="123"/>
      <c r="D169" s="176"/>
      <c r="E169" s="177"/>
      <c r="F169" s="178">
        <f t="shared" si="19"/>
        <v>0</v>
      </c>
      <c r="G169" s="177"/>
      <c r="H169" s="178">
        <f t="shared" si="20"/>
        <v>0</v>
      </c>
      <c r="I169" s="177"/>
      <c r="J169" s="179"/>
      <c r="K169" s="180"/>
      <c r="L169" s="180"/>
      <c r="M169" s="181"/>
      <c r="N169" s="181"/>
      <c r="P169" s="180"/>
    </row>
    <row r="170" spans="1:16" s="182" customFormat="1" ht="15" x14ac:dyDescent="0.4">
      <c r="A170" s="169">
        <f t="shared" si="0"/>
        <v>159</v>
      </c>
      <c r="B170" s="152" t="s">
        <v>576</v>
      </c>
      <c r="C170" s="123">
        <v>1</v>
      </c>
      <c r="D170" s="176" t="s">
        <v>290</v>
      </c>
      <c r="E170" s="177">
        <f t="shared" si="23"/>
        <v>6235</v>
      </c>
      <c r="F170" s="178">
        <f t="shared" si="19"/>
        <v>6235</v>
      </c>
      <c r="G170" s="177">
        <f t="shared" si="24"/>
        <v>4515</v>
      </c>
      <c r="H170" s="178">
        <f t="shared" si="20"/>
        <v>4515</v>
      </c>
      <c r="I170" s="177">
        <f t="shared" si="21"/>
        <v>10750</v>
      </c>
      <c r="J170" s="179">
        <f t="shared" si="22"/>
        <v>10750</v>
      </c>
      <c r="K170" s="180"/>
      <c r="L170" s="180"/>
      <c r="M170" s="181">
        <v>5800</v>
      </c>
      <c r="N170" s="181">
        <v>4200</v>
      </c>
      <c r="P170" s="180"/>
    </row>
    <row r="171" spans="1:16" s="182" customFormat="1" ht="15" x14ac:dyDescent="0.4">
      <c r="A171" s="169">
        <f t="shared" si="0"/>
        <v>160</v>
      </c>
      <c r="B171" s="152" t="s">
        <v>577</v>
      </c>
      <c r="C171" s="123">
        <v>8</v>
      </c>
      <c r="D171" s="176" t="s">
        <v>290</v>
      </c>
      <c r="E171" s="177">
        <f t="shared" si="23"/>
        <v>483.75</v>
      </c>
      <c r="F171" s="178">
        <f t="shared" si="19"/>
        <v>3870</v>
      </c>
      <c r="G171" s="177">
        <f t="shared" si="24"/>
        <v>322.5</v>
      </c>
      <c r="H171" s="178">
        <f t="shared" si="20"/>
        <v>2580</v>
      </c>
      <c r="I171" s="177">
        <f t="shared" si="21"/>
        <v>806.25</v>
      </c>
      <c r="J171" s="179">
        <f t="shared" si="22"/>
        <v>6450</v>
      </c>
      <c r="K171" s="180"/>
      <c r="L171" s="180"/>
      <c r="M171" s="181">
        <v>450</v>
      </c>
      <c r="N171" s="181">
        <v>300</v>
      </c>
      <c r="P171" s="180"/>
    </row>
    <row r="172" spans="1:16" s="182" customFormat="1" ht="15" x14ac:dyDescent="0.4">
      <c r="A172" s="169">
        <f t="shared" si="0"/>
        <v>161</v>
      </c>
      <c r="B172" s="152" t="s">
        <v>578</v>
      </c>
      <c r="C172" s="123">
        <v>1</v>
      </c>
      <c r="D172" s="176" t="s">
        <v>290</v>
      </c>
      <c r="E172" s="177">
        <f t="shared" si="23"/>
        <v>483.75</v>
      </c>
      <c r="F172" s="178">
        <f t="shared" si="19"/>
        <v>483.75</v>
      </c>
      <c r="G172" s="177">
        <f t="shared" si="24"/>
        <v>322.5</v>
      </c>
      <c r="H172" s="178">
        <f t="shared" si="20"/>
        <v>322.5</v>
      </c>
      <c r="I172" s="177">
        <f t="shared" si="21"/>
        <v>806.25</v>
      </c>
      <c r="J172" s="179">
        <f t="shared" si="22"/>
        <v>806.25</v>
      </c>
      <c r="K172" s="180"/>
      <c r="L172" s="180"/>
      <c r="M172" s="181">
        <v>450</v>
      </c>
      <c r="N172" s="181">
        <v>300</v>
      </c>
      <c r="P172" s="180"/>
    </row>
    <row r="173" spans="1:16" s="182" customFormat="1" ht="15" x14ac:dyDescent="0.4">
      <c r="A173" s="169">
        <f t="shared" si="0"/>
        <v>162</v>
      </c>
      <c r="B173" s="152" t="s">
        <v>579</v>
      </c>
      <c r="C173" s="123">
        <v>3</v>
      </c>
      <c r="D173" s="176" t="s">
        <v>290</v>
      </c>
      <c r="E173" s="177">
        <f t="shared" si="23"/>
        <v>483.75</v>
      </c>
      <c r="F173" s="178">
        <f t="shared" si="19"/>
        <v>1451.25</v>
      </c>
      <c r="G173" s="177">
        <f t="shared" si="24"/>
        <v>322.5</v>
      </c>
      <c r="H173" s="178">
        <f t="shared" si="20"/>
        <v>967.5</v>
      </c>
      <c r="I173" s="177">
        <f t="shared" si="21"/>
        <v>806.25</v>
      </c>
      <c r="J173" s="179">
        <f t="shared" si="22"/>
        <v>2418.75</v>
      </c>
      <c r="K173" s="180"/>
      <c r="L173" s="180"/>
      <c r="M173" s="181">
        <v>450</v>
      </c>
      <c r="N173" s="181">
        <v>300</v>
      </c>
      <c r="P173" s="180"/>
    </row>
    <row r="174" spans="1:16" s="182" customFormat="1" ht="15" x14ac:dyDescent="0.4">
      <c r="A174" s="169">
        <f t="shared" si="0"/>
        <v>163</v>
      </c>
      <c r="B174" s="152" t="s">
        <v>580</v>
      </c>
      <c r="C174" s="123">
        <v>1</v>
      </c>
      <c r="D174" s="176" t="s">
        <v>290</v>
      </c>
      <c r="E174" s="177">
        <f t="shared" si="23"/>
        <v>483.75</v>
      </c>
      <c r="F174" s="178">
        <f t="shared" si="19"/>
        <v>483.75</v>
      </c>
      <c r="G174" s="177">
        <f t="shared" si="24"/>
        <v>322.5</v>
      </c>
      <c r="H174" s="178">
        <f t="shared" si="20"/>
        <v>322.5</v>
      </c>
      <c r="I174" s="177">
        <f t="shared" si="21"/>
        <v>806.25</v>
      </c>
      <c r="J174" s="179">
        <f t="shared" si="22"/>
        <v>806.25</v>
      </c>
      <c r="K174" s="180"/>
      <c r="L174" s="180"/>
      <c r="M174" s="181">
        <v>450</v>
      </c>
      <c r="N174" s="181">
        <v>300</v>
      </c>
      <c r="P174" s="180"/>
    </row>
    <row r="175" spans="1:16" s="182" customFormat="1" ht="15" x14ac:dyDescent="0.4">
      <c r="A175" s="169">
        <f t="shared" si="0"/>
        <v>164</v>
      </c>
      <c r="B175" s="192" t="s">
        <v>581</v>
      </c>
      <c r="C175" s="123"/>
      <c r="D175" s="176"/>
      <c r="E175" s="177"/>
      <c r="F175" s="178">
        <f t="shared" si="19"/>
        <v>0</v>
      </c>
      <c r="G175" s="177"/>
      <c r="H175" s="178">
        <f t="shared" si="20"/>
        <v>0</v>
      </c>
      <c r="I175" s="177"/>
      <c r="J175" s="179"/>
      <c r="K175" s="180"/>
      <c r="L175" s="180"/>
      <c r="M175" s="181"/>
      <c r="N175" s="181"/>
      <c r="P175" s="180"/>
    </row>
    <row r="176" spans="1:16" s="182" customFormat="1" ht="15" x14ac:dyDescent="0.4">
      <c r="A176" s="169">
        <f t="shared" si="0"/>
        <v>165</v>
      </c>
      <c r="B176" s="152" t="s">
        <v>582</v>
      </c>
      <c r="C176" s="123">
        <v>1</v>
      </c>
      <c r="D176" s="176" t="s">
        <v>339</v>
      </c>
      <c r="E176" s="177">
        <f t="shared" si="23"/>
        <v>5912.5</v>
      </c>
      <c r="F176" s="178">
        <f t="shared" si="19"/>
        <v>5912.5</v>
      </c>
      <c r="G176" s="177">
        <f t="shared" si="24"/>
        <v>4837.5</v>
      </c>
      <c r="H176" s="178">
        <f t="shared" si="20"/>
        <v>4837.5</v>
      </c>
      <c r="I176" s="177">
        <f t="shared" si="21"/>
        <v>10750</v>
      </c>
      <c r="J176" s="179">
        <f t="shared" si="22"/>
        <v>10750</v>
      </c>
      <c r="K176" s="180"/>
      <c r="L176" s="180"/>
      <c r="M176" s="181">
        <v>5500</v>
      </c>
      <c r="N176" s="181">
        <v>4500</v>
      </c>
      <c r="P176" s="180"/>
    </row>
    <row r="177" spans="1:16" x14ac:dyDescent="0.35">
      <c r="A177" s="169">
        <f t="shared" si="0"/>
        <v>166</v>
      </c>
      <c r="B177" s="9"/>
      <c r="C177" s="11"/>
      <c r="D177" s="10"/>
      <c r="E177" s="17"/>
      <c r="F177" s="20" t="s">
        <v>6</v>
      </c>
      <c r="G177" s="17">
        <f t="shared" si="24"/>
        <v>0</v>
      </c>
      <c r="H177" s="20" t="s">
        <v>6</v>
      </c>
      <c r="I177" s="73"/>
      <c r="J177" s="20" t="s">
        <v>6</v>
      </c>
      <c r="M177" s="181">
        <v>0</v>
      </c>
      <c r="N177" s="181">
        <v>0</v>
      </c>
    </row>
    <row r="178" spans="1:16" x14ac:dyDescent="0.35">
      <c r="A178" s="169">
        <f t="shared" si="0"/>
        <v>167</v>
      </c>
      <c r="B178" s="13" t="str">
        <f>"Subtotal " &amp; B117</f>
        <v>Subtotal 02-00-04 Site Features</v>
      </c>
      <c r="C178" s="11"/>
      <c r="D178" s="10"/>
      <c r="E178" s="17"/>
      <c r="F178" s="15">
        <f>SUM(F117:F177)</f>
        <v>400253.25847333338</v>
      </c>
      <c r="G178" s="17">
        <f t="shared" si="24"/>
        <v>0</v>
      </c>
      <c r="H178" s="15">
        <f>SUM(H117:H177)</f>
        <v>588787.04471000005</v>
      </c>
      <c r="I178" s="73"/>
      <c r="J178" s="15">
        <f>SUM(J117:J177)</f>
        <v>989040.30318333337</v>
      </c>
      <c r="M178" s="181">
        <v>0</v>
      </c>
      <c r="N178" s="181">
        <v>0</v>
      </c>
    </row>
    <row r="179" spans="1:16" x14ac:dyDescent="0.35">
      <c r="A179" s="169">
        <f t="shared" si="0"/>
        <v>168</v>
      </c>
      <c r="B179" s="13"/>
      <c r="C179" s="11"/>
      <c r="D179" s="10"/>
      <c r="E179" s="17"/>
      <c r="F179" s="15"/>
      <c r="G179" s="17">
        <f t="shared" si="24"/>
        <v>0</v>
      </c>
      <c r="H179" s="15"/>
      <c r="I179" s="73"/>
      <c r="J179" s="15"/>
      <c r="M179" s="181">
        <v>0</v>
      </c>
      <c r="N179" s="181">
        <v>0</v>
      </c>
    </row>
    <row r="180" spans="1:16" x14ac:dyDescent="0.35">
      <c r="A180" s="169">
        <f t="shared" si="0"/>
        <v>169</v>
      </c>
      <c r="B180" s="62" t="s">
        <v>583</v>
      </c>
      <c r="C180" s="65"/>
      <c r="D180" s="63"/>
      <c r="E180" s="64"/>
      <c r="F180" s="64"/>
      <c r="G180" s="64">
        <f t="shared" si="24"/>
        <v>0</v>
      </c>
      <c r="H180" s="64"/>
      <c r="I180" s="74"/>
      <c r="J180" s="42" t="s">
        <v>584</v>
      </c>
      <c r="M180" s="181">
        <v>0</v>
      </c>
      <c r="N180" s="181">
        <v>0</v>
      </c>
    </row>
    <row r="181" spans="1:16" x14ac:dyDescent="0.35">
      <c r="A181" s="169">
        <f t="shared" si="0"/>
        <v>170</v>
      </c>
      <c r="B181" s="9"/>
      <c r="C181" s="11"/>
      <c r="D181" s="10"/>
      <c r="E181" s="17"/>
      <c r="F181" s="17"/>
      <c r="G181" s="17">
        <f t="shared" si="24"/>
        <v>0</v>
      </c>
      <c r="H181" s="17"/>
      <c r="I181" s="73"/>
      <c r="J181" s="18"/>
      <c r="M181" s="181">
        <v>0</v>
      </c>
      <c r="N181" s="181">
        <v>0</v>
      </c>
    </row>
    <row r="182" spans="1:16" x14ac:dyDescent="0.35">
      <c r="A182" s="169">
        <f t="shared" si="0"/>
        <v>171</v>
      </c>
      <c r="B182" s="9"/>
      <c r="C182" s="11"/>
      <c r="D182" s="10"/>
      <c r="E182" s="17"/>
      <c r="F182" s="20" t="s">
        <v>6</v>
      </c>
      <c r="G182" s="17">
        <f t="shared" si="24"/>
        <v>0</v>
      </c>
      <c r="H182" s="20" t="s">
        <v>6</v>
      </c>
      <c r="I182" s="73"/>
      <c r="J182" s="20" t="s">
        <v>6</v>
      </c>
      <c r="M182" s="181">
        <v>0</v>
      </c>
      <c r="N182" s="181">
        <v>0</v>
      </c>
    </row>
    <row r="183" spans="1:16" x14ac:dyDescent="0.35">
      <c r="A183" s="169">
        <f t="shared" si="0"/>
        <v>172</v>
      </c>
      <c r="B183" s="13" t="str">
        <f>"Subtotal " &amp; B180</f>
        <v>Subtotal 02-00-05 Concrete Walks</v>
      </c>
      <c r="C183" s="11"/>
      <c r="D183" s="10"/>
      <c r="E183" s="17"/>
      <c r="F183" s="15">
        <f>SUM(F180:F182)</f>
        <v>0</v>
      </c>
      <c r="G183" s="17">
        <f t="shared" si="24"/>
        <v>0</v>
      </c>
      <c r="H183" s="15">
        <f>SUM(H180:H182)</f>
        <v>0</v>
      </c>
      <c r="I183" s="73"/>
      <c r="J183" s="15">
        <f>SUM(J180:J182)</f>
        <v>0</v>
      </c>
      <c r="M183" s="181">
        <v>0</v>
      </c>
      <c r="N183" s="181">
        <v>0</v>
      </c>
    </row>
    <row r="184" spans="1:16" x14ac:dyDescent="0.35">
      <c r="A184" s="169">
        <f t="shared" si="0"/>
        <v>173</v>
      </c>
      <c r="B184" s="13"/>
      <c r="C184" s="11"/>
      <c r="D184" s="10"/>
      <c r="E184" s="17"/>
      <c r="F184" s="15"/>
      <c r="G184" s="17">
        <f t="shared" si="24"/>
        <v>0</v>
      </c>
      <c r="H184" s="15"/>
      <c r="I184" s="73"/>
      <c r="J184" s="15"/>
      <c r="M184" s="181">
        <v>0</v>
      </c>
      <c r="N184" s="181">
        <v>0</v>
      </c>
    </row>
    <row r="185" spans="1:16" x14ac:dyDescent="0.35">
      <c r="A185" s="169">
        <f t="shared" si="0"/>
        <v>174</v>
      </c>
      <c r="B185" s="62" t="s">
        <v>585</v>
      </c>
      <c r="C185" s="65"/>
      <c r="D185" s="63"/>
      <c r="E185" s="64"/>
      <c r="F185" s="64"/>
      <c r="G185" s="64">
        <f t="shared" si="24"/>
        <v>0</v>
      </c>
      <c r="H185" s="64"/>
      <c r="I185" s="74"/>
      <c r="J185" s="42"/>
      <c r="M185" s="181">
        <v>0</v>
      </c>
      <c r="N185" s="181">
        <v>0</v>
      </c>
    </row>
    <row r="186" spans="1:16" x14ac:dyDescent="0.35">
      <c r="A186" s="169">
        <f t="shared" si="0"/>
        <v>175</v>
      </c>
      <c r="B186" s="9"/>
      <c r="C186" s="11"/>
      <c r="D186" s="10"/>
      <c r="E186" s="17"/>
      <c r="F186" s="17"/>
      <c r="G186" s="17">
        <f t="shared" si="24"/>
        <v>0</v>
      </c>
      <c r="H186" s="17"/>
      <c r="I186" s="73"/>
      <c r="J186" s="18"/>
      <c r="M186" s="181">
        <v>0</v>
      </c>
      <c r="N186" s="181">
        <v>0</v>
      </c>
    </row>
    <row r="187" spans="1:16" s="182" customFormat="1" ht="15" x14ac:dyDescent="0.4">
      <c r="A187" s="169">
        <f t="shared" si="0"/>
        <v>176</v>
      </c>
      <c r="B187" s="200" t="s">
        <v>586</v>
      </c>
      <c r="C187" s="201"/>
      <c r="D187" s="202"/>
      <c r="E187" s="203"/>
      <c r="F187" s="204"/>
      <c r="G187" s="203"/>
      <c r="H187" s="204"/>
      <c r="I187" s="205"/>
      <c r="J187" s="206"/>
      <c r="K187" s="180"/>
      <c r="L187" s="180"/>
      <c r="M187" s="181"/>
      <c r="N187" s="181"/>
      <c r="P187" s="180"/>
    </row>
    <row r="188" spans="1:16" s="182" customFormat="1" ht="15" x14ac:dyDescent="0.4">
      <c r="A188" s="169">
        <f t="shared" si="0"/>
        <v>177</v>
      </c>
      <c r="B188" s="159" t="s">
        <v>587</v>
      </c>
      <c r="C188" s="201">
        <v>1</v>
      </c>
      <c r="D188" s="207" t="s">
        <v>588</v>
      </c>
      <c r="E188" s="208"/>
      <c r="F188" s="178">
        <f t="shared" ref="F188:F251" si="25">C188*E188</f>
        <v>0</v>
      </c>
      <c r="G188" s="205">
        <f t="shared" si="24"/>
        <v>5375</v>
      </c>
      <c r="H188" s="178">
        <f t="shared" ref="H188:H251" si="26">C188*G188</f>
        <v>5375</v>
      </c>
      <c r="I188" s="177">
        <f t="shared" ref="I188:I250" si="27">E188+G188</f>
        <v>5375</v>
      </c>
      <c r="J188" s="179">
        <f t="shared" ref="J188:J250" si="28">I188*C188</f>
        <v>5375</v>
      </c>
      <c r="K188" s="180"/>
      <c r="L188" s="180"/>
      <c r="M188" s="181">
        <v>0</v>
      </c>
      <c r="N188" s="181">
        <v>5000</v>
      </c>
      <c r="P188" s="180"/>
    </row>
    <row r="189" spans="1:16" s="182" customFormat="1" ht="15" x14ac:dyDescent="0.4">
      <c r="A189" s="169">
        <f t="shared" si="0"/>
        <v>178</v>
      </c>
      <c r="B189" s="209" t="s">
        <v>589</v>
      </c>
      <c r="C189" s="201">
        <v>1</v>
      </c>
      <c r="D189" s="207" t="s">
        <v>290</v>
      </c>
      <c r="E189" s="208"/>
      <c r="F189" s="178">
        <f t="shared" si="25"/>
        <v>0</v>
      </c>
      <c r="G189" s="205">
        <f t="shared" si="24"/>
        <v>1612.5</v>
      </c>
      <c r="H189" s="178">
        <f t="shared" si="26"/>
        <v>1612.5</v>
      </c>
      <c r="I189" s="177">
        <f t="shared" si="27"/>
        <v>1612.5</v>
      </c>
      <c r="J189" s="179">
        <f t="shared" si="28"/>
        <v>1612.5</v>
      </c>
      <c r="K189" s="180"/>
      <c r="L189" s="180"/>
      <c r="M189" s="181">
        <v>0</v>
      </c>
      <c r="N189" s="181">
        <v>1500</v>
      </c>
      <c r="P189" s="180"/>
    </row>
    <row r="190" spans="1:16" s="182" customFormat="1" ht="15" x14ac:dyDescent="0.4">
      <c r="A190" s="169">
        <f t="shared" si="0"/>
        <v>179</v>
      </c>
      <c r="B190" s="209" t="s">
        <v>590</v>
      </c>
      <c r="C190" s="201">
        <v>2</v>
      </c>
      <c r="D190" s="207" t="s">
        <v>290</v>
      </c>
      <c r="E190" s="208"/>
      <c r="F190" s="178">
        <f t="shared" si="25"/>
        <v>0</v>
      </c>
      <c r="G190" s="205">
        <f t="shared" si="24"/>
        <v>5375</v>
      </c>
      <c r="H190" s="178">
        <f t="shared" si="26"/>
        <v>10750</v>
      </c>
      <c r="I190" s="177">
        <f t="shared" si="27"/>
        <v>5375</v>
      </c>
      <c r="J190" s="179">
        <f t="shared" si="28"/>
        <v>10750</v>
      </c>
      <c r="K190" s="180"/>
      <c r="L190" s="180"/>
      <c r="M190" s="181">
        <v>0</v>
      </c>
      <c r="N190" s="181">
        <v>5000</v>
      </c>
      <c r="P190" s="180"/>
    </row>
    <row r="191" spans="1:16" s="182" customFormat="1" ht="15" x14ac:dyDescent="0.4">
      <c r="A191" s="169">
        <f t="shared" si="0"/>
        <v>180</v>
      </c>
      <c r="B191" s="209" t="s">
        <v>591</v>
      </c>
      <c r="C191" s="201">
        <v>121</v>
      </c>
      <c r="D191" s="207" t="s">
        <v>300</v>
      </c>
      <c r="E191" s="208"/>
      <c r="F191" s="178">
        <f t="shared" si="25"/>
        <v>0</v>
      </c>
      <c r="G191" s="205">
        <f t="shared" si="24"/>
        <v>33.464749999999995</v>
      </c>
      <c r="H191" s="178">
        <f t="shared" si="26"/>
        <v>4049.2347499999996</v>
      </c>
      <c r="I191" s="177">
        <f t="shared" si="27"/>
        <v>33.464749999999995</v>
      </c>
      <c r="J191" s="179">
        <f t="shared" si="28"/>
        <v>4049.2347499999996</v>
      </c>
      <c r="K191" s="180"/>
      <c r="L191" s="180"/>
      <c r="M191" s="181">
        <v>0</v>
      </c>
      <c r="N191" s="181">
        <v>31.13</v>
      </c>
      <c r="P191" s="180"/>
    </row>
    <row r="192" spans="1:16" s="182" customFormat="1" ht="15" x14ac:dyDescent="0.4">
      <c r="A192" s="169">
        <f t="shared" si="0"/>
        <v>181</v>
      </c>
      <c r="B192" s="209" t="s">
        <v>592</v>
      </c>
      <c r="C192" s="201">
        <v>5</v>
      </c>
      <c r="D192" s="207" t="s">
        <v>290</v>
      </c>
      <c r="E192" s="208">
        <f t="shared" si="23"/>
        <v>2451</v>
      </c>
      <c r="F192" s="178">
        <f t="shared" si="25"/>
        <v>12255</v>
      </c>
      <c r="G192" s="205">
        <f t="shared" si="24"/>
        <v>1634</v>
      </c>
      <c r="H192" s="178">
        <f t="shared" si="26"/>
        <v>8170</v>
      </c>
      <c r="I192" s="177">
        <f t="shared" si="27"/>
        <v>4085</v>
      </c>
      <c r="J192" s="179">
        <f t="shared" si="28"/>
        <v>20425</v>
      </c>
      <c r="K192" s="180"/>
      <c r="L192" s="180"/>
      <c r="M192" s="181">
        <v>2280</v>
      </c>
      <c r="N192" s="181">
        <v>1520</v>
      </c>
      <c r="P192" s="180"/>
    </row>
    <row r="193" spans="1:16" s="182" customFormat="1" ht="15" x14ac:dyDescent="0.4">
      <c r="A193" s="169">
        <f t="shared" si="0"/>
        <v>182</v>
      </c>
      <c r="B193" s="210" t="s">
        <v>593</v>
      </c>
      <c r="C193" s="201">
        <v>439</v>
      </c>
      <c r="D193" s="207" t="s">
        <v>300</v>
      </c>
      <c r="E193" s="208">
        <f t="shared" si="23"/>
        <v>103.19999999999999</v>
      </c>
      <c r="F193" s="178">
        <f t="shared" si="25"/>
        <v>45304.799999999996</v>
      </c>
      <c r="G193" s="205">
        <f t="shared" si="24"/>
        <v>68.8</v>
      </c>
      <c r="H193" s="178">
        <f t="shared" si="26"/>
        <v>30203.199999999997</v>
      </c>
      <c r="I193" s="177">
        <f t="shared" si="27"/>
        <v>172</v>
      </c>
      <c r="J193" s="179">
        <f t="shared" si="28"/>
        <v>75508</v>
      </c>
      <c r="K193" s="180"/>
      <c r="L193" s="180"/>
      <c r="M193" s="181">
        <v>96</v>
      </c>
      <c r="N193" s="181">
        <v>64</v>
      </c>
      <c r="P193" s="180"/>
    </row>
    <row r="194" spans="1:16" s="182" customFormat="1" ht="15" x14ac:dyDescent="0.4">
      <c r="A194" s="169">
        <f t="shared" si="0"/>
        <v>183</v>
      </c>
      <c r="B194" s="210" t="s">
        <v>594</v>
      </c>
      <c r="C194" s="201">
        <v>499</v>
      </c>
      <c r="D194" s="207" t="s">
        <v>300</v>
      </c>
      <c r="E194" s="208">
        <f t="shared" si="23"/>
        <v>88.364999999999995</v>
      </c>
      <c r="F194" s="178">
        <f t="shared" si="25"/>
        <v>44094.134999999995</v>
      </c>
      <c r="G194" s="205">
        <f t="shared" si="24"/>
        <v>58.91</v>
      </c>
      <c r="H194" s="178">
        <f t="shared" si="26"/>
        <v>29396.089999999997</v>
      </c>
      <c r="I194" s="177">
        <f t="shared" si="27"/>
        <v>147.27499999999998</v>
      </c>
      <c r="J194" s="179">
        <f t="shared" si="28"/>
        <v>73490.224999999991</v>
      </c>
      <c r="K194" s="180"/>
      <c r="L194" s="180"/>
      <c r="M194" s="181">
        <v>82.2</v>
      </c>
      <c r="N194" s="181">
        <v>54.8</v>
      </c>
      <c r="P194" s="180"/>
    </row>
    <row r="195" spans="1:16" s="182" customFormat="1" ht="15" x14ac:dyDescent="0.4">
      <c r="A195" s="169">
        <f t="shared" si="0"/>
        <v>184</v>
      </c>
      <c r="B195" s="210" t="s">
        <v>595</v>
      </c>
      <c r="C195" s="201">
        <v>42</v>
      </c>
      <c r="D195" s="207" t="s">
        <v>300</v>
      </c>
      <c r="E195" s="208">
        <f t="shared" si="23"/>
        <v>61.92</v>
      </c>
      <c r="F195" s="178">
        <f t="shared" si="25"/>
        <v>2600.64</v>
      </c>
      <c r="G195" s="205">
        <f t="shared" si="24"/>
        <v>41.279999999999994</v>
      </c>
      <c r="H195" s="178">
        <f t="shared" si="26"/>
        <v>1733.7599999999998</v>
      </c>
      <c r="I195" s="177">
        <f t="shared" si="27"/>
        <v>103.19999999999999</v>
      </c>
      <c r="J195" s="179">
        <f t="shared" si="28"/>
        <v>4334.3999999999996</v>
      </c>
      <c r="K195" s="180"/>
      <c r="L195" s="180"/>
      <c r="M195" s="181">
        <v>57.6</v>
      </c>
      <c r="N195" s="181">
        <v>38.4</v>
      </c>
      <c r="P195" s="180"/>
    </row>
    <row r="196" spans="1:16" s="182" customFormat="1" ht="15" x14ac:dyDescent="0.4">
      <c r="A196" s="169">
        <f t="shared" si="0"/>
        <v>185</v>
      </c>
      <c r="B196" s="210" t="s">
        <v>596</v>
      </c>
      <c r="C196" s="201">
        <v>1</v>
      </c>
      <c r="D196" s="207" t="s">
        <v>290</v>
      </c>
      <c r="E196" s="208">
        <f t="shared" si="23"/>
        <v>3225</v>
      </c>
      <c r="F196" s="178">
        <f t="shared" si="25"/>
        <v>3225</v>
      </c>
      <c r="G196" s="205">
        <f t="shared" si="24"/>
        <v>2150</v>
      </c>
      <c r="H196" s="178">
        <f t="shared" si="26"/>
        <v>2150</v>
      </c>
      <c r="I196" s="177">
        <f t="shared" si="27"/>
        <v>5375</v>
      </c>
      <c r="J196" s="179">
        <f t="shared" si="28"/>
        <v>5375</v>
      </c>
      <c r="K196" s="180"/>
      <c r="L196" s="180"/>
      <c r="M196" s="181">
        <v>3000</v>
      </c>
      <c r="N196" s="181">
        <v>2000</v>
      </c>
      <c r="P196" s="180"/>
    </row>
    <row r="197" spans="1:16" s="182" customFormat="1" ht="15" x14ac:dyDescent="0.4">
      <c r="A197" s="169">
        <f t="shared" si="0"/>
        <v>186</v>
      </c>
      <c r="B197" s="200" t="s">
        <v>100</v>
      </c>
      <c r="C197" s="201"/>
      <c r="D197" s="202"/>
      <c r="E197" s="203"/>
      <c r="F197" s="178">
        <f t="shared" si="25"/>
        <v>0</v>
      </c>
      <c r="G197" s="203"/>
      <c r="H197" s="178">
        <f t="shared" si="26"/>
        <v>0</v>
      </c>
      <c r="I197" s="177"/>
      <c r="J197" s="179"/>
      <c r="K197" s="180"/>
      <c r="L197" s="180"/>
      <c r="M197" s="181"/>
      <c r="N197" s="181"/>
      <c r="P197" s="180"/>
    </row>
    <row r="198" spans="1:16" s="182" customFormat="1" ht="15" x14ac:dyDescent="0.4">
      <c r="A198" s="169">
        <f t="shared" si="0"/>
        <v>187</v>
      </c>
      <c r="B198" s="159" t="s">
        <v>597</v>
      </c>
      <c r="C198" s="201">
        <v>2</v>
      </c>
      <c r="D198" s="207" t="s">
        <v>290</v>
      </c>
      <c r="E198" s="208"/>
      <c r="F198" s="178">
        <f t="shared" si="25"/>
        <v>0</v>
      </c>
      <c r="G198" s="205">
        <f t="shared" si="24"/>
        <v>5375</v>
      </c>
      <c r="H198" s="178">
        <f t="shared" si="26"/>
        <v>10750</v>
      </c>
      <c r="I198" s="177">
        <f t="shared" si="27"/>
        <v>5375</v>
      </c>
      <c r="J198" s="179">
        <f t="shared" si="28"/>
        <v>10750</v>
      </c>
      <c r="K198" s="180"/>
      <c r="L198" s="180"/>
      <c r="M198" s="181">
        <v>0</v>
      </c>
      <c r="N198" s="181">
        <v>5000</v>
      </c>
      <c r="P198" s="180"/>
    </row>
    <row r="199" spans="1:16" s="182" customFormat="1" ht="27" x14ac:dyDescent="0.4">
      <c r="A199" s="169">
        <f t="shared" si="0"/>
        <v>188</v>
      </c>
      <c r="B199" s="209" t="s">
        <v>598</v>
      </c>
      <c r="C199" s="201">
        <v>40</v>
      </c>
      <c r="D199" s="207" t="s">
        <v>300</v>
      </c>
      <c r="E199" s="208">
        <f t="shared" si="23"/>
        <v>68.8</v>
      </c>
      <c r="F199" s="178">
        <f t="shared" si="25"/>
        <v>2752</v>
      </c>
      <c r="G199" s="205">
        <f t="shared" si="24"/>
        <v>44.074999999999996</v>
      </c>
      <c r="H199" s="178">
        <f t="shared" si="26"/>
        <v>1762.9999999999998</v>
      </c>
      <c r="I199" s="177">
        <f t="shared" si="27"/>
        <v>112.875</v>
      </c>
      <c r="J199" s="179">
        <f t="shared" si="28"/>
        <v>4515</v>
      </c>
      <c r="K199" s="180"/>
      <c r="L199" s="180"/>
      <c r="M199" s="181">
        <v>64</v>
      </c>
      <c r="N199" s="181">
        <v>41</v>
      </c>
      <c r="P199" s="180"/>
    </row>
    <row r="200" spans="1:16" s="182" customFormat="1" ht="15" x14ac:dyDescent="0.4">
      <c r="A200" s="169">
        <f t="shared" si="0"/>
        <v>189</v>
      </c>
      <c r="B200" s="209" t="s">
        <v>599</v>
      </c>
      <c r="C200" s="201">
        <v>1</v>
      </c>
      <c r="D200" s="207" t="s">
        <v>290</v>
      </c>
      <c r="E200" s="208">
        <f t="shared" si="23"/>
        <v>537.5</v>
      </c>
      <c r="F200" s="178">
        <f t="shared" si="25"/>
        <v>537.5</v>
      </c>
      <c r="G200" s="205">
        <f t="shared" si="24"/>
        <v>1075</v>
      </c>
      <c r="H200" s="178">
        <f t="shared" si="26"/>
        <v>1075</v>
      </c>
      <c r="I200" s="177">
        <f t="shared" si="27"/>
        <v>1612.5</v>
      </c>
      <c r="J200" s="179">
        <f t="shared" si="28"/>
        <v>1612.5</v>
      </c>
      <c r="K200" s="180"/>
      <c r="L200" s="180"/>
      <c r="M200" s="181">
        <v>500</v>
      </c>
      <c r="N200" s="181">
        <v>1000</v>
      </c>
      <c r="P200" s="180"/>
    </row>
    <row r="201" spans="1:16" s="182" customFormat="1" ht="15" x14ac:dyDescent="0.4">
      <c r="A201" s="169">
        <f t="shared" si="0"/>
        <v>190</v>
      </c>
      <c r="B201" s="211" t="s">
        <v>600</v>
      </c>
      <c r="C201" s="201"/>
      <c r="D201" s="202"/>
      <c r="E201" s="205"/>
      <c r="F201" s="178">
        <f t="shared" si="25"/>
        <v>0</v>
      </c>
      <c r="G201" s="205"/>
      <c r="H201" s="178">
        <f t="shared" si="26"/>
        <v>0</v>
      </c>
      <c r="I201" s="177"/>
      <c r="J201" s="179"/>
      <c r="K201" s="180"/>
      <c r="L201" s="180"/>
      <c r="M201" s="181"/>
      <c r="N201" s="181"/>
      <c r="P201" s="180"/>
    </row>
    <row r="202" spans="1:16" s="182" customFormat="1" ht="15" x14ac:dyDescent="0.4">
      <c r="A202" s="169">
        <f t="shared" si="0"/>
        <v>191</v>
      </c>
      <c r="B202" s="159" t="s">
        <v>601</v>
      </c>
      <c r="C202" s="201">
        <v>1</v>
      </c>
      <c r="D202" s="207" t="s">
        <v>290</v>
      </c>
      <c r="E202" s="208"/>
      <c r="F202" s="178">
        <f t="shared" si="25"/>
        <v>0</v>
      </c>
      <c r="G202" s="205">
        <f t="shared" ref="G202:G265" si="29">N202*$N$8</f>
        <v>5375</v>
      </c>
      <c r="H202" s="178">
        <f t="shared" si="26"/>
        <v>5375</v>
      </c>
      <c r="I202" s="177">
        <f t="shared" si="27"/>
        <v>5375</v>
      </c>
      <c r="J202" s="179">
        <f t="shared" si="28"/>
        <v>5375</v>
      </c>
      <c r="K202" s="180"/>
      <c r="L202" s="180"/>
      <c r="M202" s="181">
        <v>0</v>
      </c>
      <c r="N202" s="181">
        <v>5000</v>
      </c>
      <c r="P202" s="180"/>
    </row>
    <row r="203" spans="1:16" s="182" customFormat="1" ht="15" x14ac:dyDescent="0.4">
      <c r="A203" s="169">
        <f t="shared" si="0"/>
        <v>192</v>
      </c>
      <c r="B203" s="159" t="s">
        <v>602</v>
      </c>
      <c r="C203" s="201">
        <v>581</v>
      </c>
      <c r="D203" s="207" t="s">
        <v>300</v>
      </c>
      <c r="E203" s="208"/>
      <c r="F203" s="178">
        <f t="shared" si="25"/>
        <v>0</v>
      </c>
      <c r="G203" s="205">
        <f t="shared" si="29"/>
        <v>55.9</v>
      </c>
      <c r="H203" s="178">
        <f t="shared" si="26"/>
        <v>32477.899999999998</v>
      </c>
      <c r="I203" s="177">
        <f t="shared" si="27"/>
        <v>55.9</v>
      </c>
      <c r="J203" s="179">
        <f t="shared" si="28"/>
        <v>32477.899999999998</v>
      </c>
      <c r="K203" s="180"/>
      <c r="L203" s="180"/>
      <c r="M203" s="181">
        <v>0</v>
      </c>
      <c r="N203" s="181">
        <v>52</v>
      </c>
      <c r="P203" s="180"/>
    </row>
    <row r="204" spans="1:16" s="182" customFormat="1" ht="15" x14ac:dyDescent="0.4">
      <c r="A204" s="169">
        <f t="shared" si="0"/>
        <v>193</v>
      </c>
      <c r="B204" s="209" t="s">
        <v>603</v>
      </c>
      <c r="C204" s="201">
        <v>1</v>
      </c>
      <c r="D204" s="207" t="s">
        <v>290</v>
      </c>
      <c r="E204" s="208"/>
      <c r="F204" s="178">
        <f t="shared" si="25"/>
        <v>0</v>
      </c>
      <c r="G204" s="205">
        <f t="shared" si="29"/>
        <v>2687.5</v>
      </c>
      <c r="H204" s="178">
        <f t="shared" si="26"/>
        <v>2687.5</v>
      </c>
      <c r="I204" s="177">
        <f t="shared" si="27"/>
        <v>2687.5</v>
      </c>
      <c r="J204" s="179">
        <f t="shared" si="28"/>
        <v>2687.5</v>
      </c>
      <c r="K204" s="180"/>
      <c r="L204" s="180"/>
      <c r="M204" s="181">
        <v>0</v>
      </c>
      <c r="N204" s="181">
        <v>2500</v>
      </c>
      <c r="P204" s="180"/>
    </row>
    <row r="205" spans="1:16" s="182" customFormat="1" ht="15" x14ac:dyDescent="0.4">
      <c r="A205" s="169">
        <f t="shared" si="0"/>
        <v>194</v>
      </c>
      <c r="B205" s="158" t="s">
        <v>604</v>
      </c>
      <c r="C205" s="201">
        <v>29</v>
      </c>
      <c r="D205" s="207" t="s">
        <v>300</v>
      </c>
      <c r="E205" s="208">
        <f t="shared" ref="E205:E262" si="30">M205*$M$8</f>
        <v>70.305000000000007</v>
      </c>
      <c r="F205" s="178">
        <f t="shared" si="25"/>
        <v>2038.8450000000003</v>
      </c>
      <c r="G205" s="205">
        <f t="shared" si="29"/>
        <v>46.86999999999999</v>
      </c>
      <c r="H205" s="178">
        <f t="shared" si="26"/>
        <v>1359.2299999999998</v>
      </c>
      <c r="I205" s="177">
        <f t="shared" si="27"/>
        <v>117.175</v>
      </c>
      <c r="J205" s="179">
        <f t="shared" si="28"/>
        <v>3398.0749999999998</v>
      </c>
      <c r="K205" s="180"/>
      <c r="L205" s="180"/>
      <c r="M205" s="181">
        <v>65.400000000000006</v>
      </c>
      <c r="N205" s="181">
        <v>43.599999999999994</v>
      </c>
      <c r="P205" s="180"/>
    </row>
    <row r="206" spans="1:16" s="182" customFormat="1" ht="15" x14ac:dyDescent="0.4">
      <c r="A206" s="169">
        <f t="shared" si="0"/>
        <v>195</v>
      </c>
      <c r="B206" s="209" t="s">
        <v>605</v>
      </c>
      <c r="C206" s="201">
        <v>3</v>
      </c>
      <c r="D206" s="207" t="s">
        <v>290</v>
      </c>
      <c r="E206" s="208">
        <f t="shared" si="30"/>
        <v>5318.0249999999996</v>
      </c>
      <c r="F206" s="178">
        <f t="shared" si="25"/>
        <v>15954.074999999999</v>
      </c>
      <c r="G206" s="205">
        <f t="shared" si="29"/>
        <v>3545.35</v>
      </c>
      <c r="H206" s="178">
        <f t="shared" si="26"/>
        <v>10636.05</v>
      </c>
      <c r="I206" s="177">
        <f t="shared" si="27"/>
        <v>8863.375</v>
      </c>
      <c r="J206" s="179">
        <f t="shared" si="28"/>
        <v>26590.125</v>
      </c>
      <c r="K206" s="180"/>
      <c r="L206" s="180"/>
      <c r="M206" s="181">
        <v>4947</v>
      </c>
      <c r="N206" s="181">
        <v>3298</v>
      </c>
      <c r="P206" s="180"/>
    </row>
    <row r="207" spans="1:16" s="182" customFormat="1" ht="15" x14ac:dyDescent="0.4">
      <c r="A207" s="169">
        <f t="shared" si="0"/>
        <v>196</v>
      </c>
      <c r="B207" s="209" t="s">
        <v>606</v>
      </c>
      <c r="C207" s="201">
        <v>1</v>
      </c>
      <c r="D207" s="207" t="s">
        <v>588</v>
      </c>
      <c r="E207" s="208">
        <f t="shared" si="30"/>
        <v>864.3</v>
      </c>
      <c r="F207" s="178">
        <f t="shared" si="25"/>
        <v>864.3</v>
      </c>
      <c r="G207" s="205">
        <f t="shared" si="29"/>
        <v>576.19999999999993</v>
      </c>
      <c r="H207" s="178">
        <f t="shared" si="26"/>
        <v>576.19999999999993</v>
      </c>
      <c r="I207" s="177">
        <f t="shared" si="27"/>
        <v>1440.5</v>
      </c>
      <c r="J207" s="179">
        <f t="shared" si="28"/>
        <v>1440.5</v>
      </c>
      <c r="K207" s="180"/>
      <c r="L207" s="180"/>
      <c r="M207" s="181">
        <v>804</v>
      </c>
      <c r="N207" s="181">
        <v>536</v>
      </c>
      <c r="P207" s="180"/>
    </row>
    <row r="208" spans="1:16" s="182" customFormat="1" ht="15" x14ac:dyDescent="0.4">
      <c r="A208" s="169">
        <f t="shared" si="0"/>
        <v>197</v>
      </c>
      <c r="B208" s="209" t="s">
        <v>607</v>
      </c>
      <c r="C208" s="201">
        <v>1</v>
      </c>
      <c r="D208" s="207" t="s">
        <v>588</v>
      </c>
      <c r="E208" s="208">
        <f t="shared" si="30"/>
        <v>2580</v>
      </c>
      <c r="F208" s="178">
        <f t="shared" si="25"/>
        <v>2580</v>
      </c>
      <c r="G208" s="205">
        <f t="shared" si="29"/>
        <v>1720</v>
      </c>
      <c r="H208" s="178">
        <f t="shared" si="26"/>
        <v>1720</v>
      </c>
      <c r="I208" s="177">
        <f t="shared" si="27"/>
        <v>4300</v>
      </c>
      <c r="J208" s="179">
        <f t="shared" si="28"/>
        <v>4300</v>
      </c>
      <c r="K208" s="180"/>
      <c r="L208" s="180"/>
      <c r="M208" s="181">
        <v>2400</v>
      </c>
      <c r="N208" s="181">
        <v>1600</v>
      </c>
      <c r="P208" s="180"/>
    </row>
    <row r="209" spans="1:21" s="182" customFormat="1" ht="15" x14ac:dyDescent="0.4">
      <c r="A209" s="169">
        <f t="shared" si="0"/>
        <v>198</v>
      </c>
      <c r="B209" s="211" t="s">
        <v>608</v>
      </c>
      <c r="C209" s="169"/>
      <c r="D209" s="202"/>
      <c r="E209" s="212"/>
      <c r="F209" s="178">
        <f t="shared" si="25"/>
        <v>0</v>
      </c>
      <c r="G209" s="205"/>
      <c r="H209" s="178">
        <f t="shared" si="26"/>
        <v>0</v>
      </c>
      <c r="I209" s="177"/>
      <c r="J209" s="179"/>
      <c r="K209" s="180"/>
      <c r="L209" s="180"/>
      <c r="M209" s="181"/>
      <c r="N209" s="181">
        <v>0</v>
      </c>
      <c r="P209" s="180"/>
    </row>
    <row r="210" spans="1:21" s="182" customFormat="1" ht="15" x14ac:dyDescent="0.4">
      <c r="A210" s="169">
        <f t="shared" si="0"/>
        <v>199</v>
      </c>
      <c r="B210" s="159" t="s">
        <v>609</v>
      </c>
      <c r="C210" s="201">
        <v>119</v>
      </c>
      <c r="D210" s="207" t="s">
        <v>300</v>
      </c>
      <c r="E210" s="208"/>
      <c r="F210" s="178">
        <f t="shared" si="25"/>
        <v>0</v>
      </c>
      <c r="G210" s="205">
        <f t="shared" si="29"/>
        <v>33.324999999999996</v>
      </c>
      <c r="H210" s="178">
        <f t="shared" si="26"/>
        <v>3965.6749999999993</v>
      </c>
      <c r="I210" s="177">
        <f t="shared" si="27"/>
        <v>33.324999999999996</v>
      </c>
      <c r="J210" s="179">
        <f t="shared" si="28"/>
        <v>3965.6749999999993</v>
      </c>
      <c r="K210" s="180"/>
      <c r="L210" s="180"/>
      <c r="M210" s="181">
        <v>0</v>
      </c>
      <c r="N210" s="181">
        <v>31</v>
      </c>
      <c r="P210" s="180"/>
    </row>
    <row r="211" spans="1:21" s="182" customFormat="1" ht="15" x14ac:dyDescent="0.4">
      <c r="A211" s="169">
        <f t="shared" si="0"/>
        <v>200</v>
      </c>
      <c r="B211" s="209" t="s">
        <v>610</v>
      </c>
      <c r="C211" s="201">
        <v>2</v>
      </c>
      <c r="D211" s="207" t="s">
        <v>290</v>
      </c>
      <c r="E211" s="208">
        <f t="shared" si="30"/>
        <v>1935</v>
      </c>
      <c r="F211" s="178">
        <f t="shared" si="25"/>
        <v>3870</v>
      </c>
      <c r="G211" s="205">
        <f t="shared" si="29"/>
        <v>1290</v>
      </c>
      <c r="H211" s="178">
        <f t="shared" si="26"/>
        <v>2580</v>
      </c>
      <c r="I211" s="177">
        <f t="shared" si="27"/>
        <v>3225</v>
      </c>
      <c r="J211" s="179">
        <f t="shared" si="28"/>
        <v>6450</v>
      </c>
      <c r="K211" s="180"/>
      <c r="L211" s="180"/>
      <c r="M211" s="181">
        <v>1800</v>
      </c>
      <c r="N211" s="181">
        <v>1200</v>
      </c>
      <c r="P211" s="180"/>
    </row>
    <row r="212" spans="1:21" s="182" customFormat="1" ht="15" x14ac:dyDescent="0.4">
      <c r="A212" s="169">
        <f t="shared" si="0"/>
        <v>201</v>
      </c>
      <c r="B212" s="209" t="s">
        <v>611</v>
      </c>
      <c r="C212" s="201">
        <v>396</v>
      </c>
      <c r="D212" s="207" t="s">
        <v>300</v>
      </c>
      <c r="E212" s="208">
        <f t="shared" si="30"/>
        <v>51.599999999999994</v>
      </c>
      <c r="F212" s="178">
        <f t="shared" si="25"/>
        <v>20433.599999999999</v>
      </c>
      <c r="G212" s="205">
        <f t="shared" si="29"/>
        <v>34.4</v>
      </c>
      <c r="H212" s="178">
        <f t="shared" si="26"/>
        <v>13622.4</v>
      </c>
      <c r="I212" s="177">
        <f t="shared" si="27"/>
        <v>86</v>
      </c>
      <c r="J212" s="179">
        <f t="shared" si="28"/>
        <v>34056</v>
      </c>
      <c r="K212" s="180"/>
      <c r="L212" s="180"/>
      <c r="M212" s="181">
        <v>48</v>
      </c>
      <c r="N212" s="181">
        <v>32</v>
      </c>
      <c r="P212" s="180"/>
    </row>
    <row r="213" spans="1:21" s="182" customFormat="1" ht="15" x14ac:dyDescent="0.4">
      <c r="A213" s="169">
        <f t="shared" si="0"/>
        <v>202</v>
      </c>
      <c r="B213" s="209" t="s">
        <v>612</v>
      </c>
      <c r="C213" s="201">
        <v>2</v>
      </c>
      <c r="D213" s="207" t="s">
        <v>588</v>
      </c>
      <c r="E213" s="208">
        <f t="shared" si="30"/>
        <v>2580</v>
      </c>
      <c r="F213" s="178">
        <f t="shared" si="25"/>
        <v>5160</v>
      </c>
      <c r="G213" s="205">
        <f t="shared" si="29"/>
        <v>1720</v>
      </c>
      <c r="H213" s="178">
        <f t="shared" si="26"/>
        <v>3440</v>
      </c>
      <c r="I213" s="177">
        <f t="shared" si="27"/>
        <v>4300</v>
      </c>
      <c r="J213" s="179">
        <f t="shared" si="28"/>
        <v>8600</v>
      </c>
      <c r="K213" s="180"/>
      <c r="L213" s="180"/>
      <c r="M213" s="181">
        <v>2400</v>
      </c>
      <c r="N213" s="181">
        <v>1600</v>
      </c>
      <c r="P213" s="180"/>
    </row>
    <row r="214" spans="1:21" s="182" customFormat="1" ht="15" x14ac:dyDescent="0.4">
      <c r="A214" s="169">
        <f t="shared" si="0"/>
        <v>203</v>
      </c>
      <c r="B214" s="209" t="s">
        <v>613</v>
      </c>
      <c r="C214" s="201">
        <v>2</v>
      </c>
      <c r="D214" s="207" t="s">
        <v>588</v>
      </c>
      <c r="E214" s="208">
        <f t="shared" si="30"/>
        <v>1935</v>
      </c>
      <c r="F214" s="178">
        <f t="shared" si="25"/>
        <v>3870</v>
      </c>
      <c r="G214" s="205">
        <f t="shared" si="29"/>
        <v>1290</v>
      </c>
      <c r="H214" s="178">
        <f t="shared" si="26"/>
        <v>2580</v>
      </c>
      <c r="I214" s="177">
        <f t="shared" si="27"/>
        <v>3225</v>
      </c>
      <c r="J214" s="179">
        <f t="shared" si="28"/>
        <v>6450</v>
      </c>
      <c r="K214" s="180"/>
      <c r="L214" s="180"/>
      <c r="M214" s="181">
        <v>1800</v>
      </c>
      <c r="N214" s="181">
        <v>1200</v>
      </c>
      <c r="P214" s="180"/>
    </row>
    <row r="215" spans="1:21" s="182" customFormat="1" ht="15" x14ac:dyDescent="0.4">
      <c r="A215" s="169">
        <f t="shared" si="0"/>
        <v>204</v>
      </c>
      <c r="B215" s="211" t="s">
        <v>614</v>
      </c>
      <c r="C215" s="169"/>
      <c r="D215" s="202"/>
      <c r="E215" s="212"/>
      <c r="F215" s="178">
        <f t="shared" si="25"/>
        <v>0</v>
      </c>
      <c r="G215" s="205"/>
      <c r="H215" s="178">
        <f t="shared" si="26"/>
        <v>0</v>
      </c>
      <c r="I215" s="177"/>
      <c r="J215" s="179"/>
      <c r="K215" s="180"/>
      <c r="L215" s="180"/>
      <c r="M215" s="181"/>
      <c r="N215" s="181"/>
      <c r="P215" s="180"/>
    </row>
    <row r="216" spans="1:21" s="191" customFormat="1" ht="15" x14ac:dyDescent="0.4">
      <c r="A216" s="169">
        <f t="shared" si="0"/>
        <v>205</v>
      </c>
      <c r="B216" s="213" t="s">
        <v>615</v>
      </c>
      <c r="C216" s="169"/>
      <c r="D216" s="202"/>
      <c r="E216" s="212"/>
      <c r="F216" s="178">
        <f t="shared" si="25"/>
        <v>0</v>
      </c>
      <c r="G216" s="205"/>
      <c r="H216" s="178">
        <f t="shared" si="26"/>
        <v>0</v>
      </c>
      <c r="I216" s="177"/>
      <c r="J216" s="179"/>
      <c r="K216" s="214"/>
      <c r="L216" s="180"/>
      <c r="M216" s="181"/>
      <c r="N216" s="181"/>
      <c r="O216" s="182"/>
      <c r="P216" s="215"/>
      <c r="Q216" s="216"/>
      <c r="R216" s="216"/>
      <c r="S216" s="215"/>
      <c r="T216" s="217"/>
      <c r="U216" s="215"/>
    </row>
    <row r="217" spans="1:21" s="191" customFormat="1" ht="15" x14ac:dyDescent="0.4">
      <c r="A217" s="169">
        <f t="shared" si="0"/>
        <v>206</v>
      </c>
      <c r="B217" s="159" t="s">
        <v>616</v>
      </c>
      <c r="C217" s="201">
        <v>2</v>
      </c>
      <c r="D217" s="207" t="s">
        <v>290</v>
      </c>
      <c r="E217" s="208"/>
      <c r="F217" s="178">
        <f t="shared" si="25"/>
        <v>0</v>
      </c>
      <c r="G217" s="205">
        <f t="shared" si="29"/>
        <v>483.75</v>
      </c>
      <c r="H217" s="178">
        <f t="shared" si="26"/>
        <v>967.5</v>
      </c>
      <c r="I217" s="177">
        <f t="shared" si="27"/>
        <v>483.75</v>
      </c>
      <c r="J217" s="179">
        <f t="shared" si="28"/>
        <v>967.5</v>
      </c>
      <c r="K217" s="214"/>
      <c r="L217" s="180"/>
      <c r="M217" s="181">
        <v>0</v>
      </c>
      <c r="N217" s="181">
        <v>450</v>
      </c>
      <c r="O217" s="182"/>
      <c r="P217" s="215"/>
      <c r="Q217" s="216"/>
      <c r="R217" s="216"/>
      <c r="S217" s="215"/>
      <c r="T217" s="217"/>
      <c r="U217" s="215"/>
    </row>
    <row r="218" spans="1:21" s="191" customFormat="1" ht="15" x14ac:dyDescent="0.4">
      <c r="A218" s="169">
        <f t="shared" si="0"/>
        <v>207</v>
      </c>
      <c r="B218" s="209" t="s">
        <v>617</v>
      </c>
      <c r="C218" s="201">
        <v>251</v>
      </c>
      <c r="D218" s="207" t="s">
        <v>300</v>
      </c>
      <c r="E218" s="208"/>
      <c r="F218" s="178">
        <f t="shared" si="25"/>
        <v>0</v>
      </c>
      <c r="G218" s="205">
        <f t="shared" si="29"/>
        <v>37.625</v>
      </c>
      <c r="H218" s="178">
        <f t="shared" si="26"/>
        <v>9443.875</v>
      </c>
      <c r="I218" s="177">
        <f t="shared" si="27"/>
        <v>37.625</v>
      </c>
      <c r="J218" s="179">
        <f t="shared" si="28"/>
        <v>9443.875</v>
      </c>
      <c r="K218" s="214"/>
      <c r="L218" s="180"/>
      <c r="M218" s="181">
        <v>0</v>
      </c>
      <c r="N218" s="181">
        <v>35</v>
      </c>
      <c r="O218" s="182"/>
      <c r="P218" s="215"/>
      <c r="Q218" s="216"/>
      <c r="R218" s="216"/>
      <c r="S218" s="215"/>
      <c r="T218" s="217"/>
      <c r="U218" s="215"/>
    </row>
    <row r="219" spans="1:21" s="191" customFormat="1" ht="15" x14ac:dyDescent="0.4">
      <c r="A219" s="169">
        <f t="shared" si="0"/>
        <v>208</v>
      </c>
      <c r="B219" s="218" t="s">
        <v>618</v>
      </c>
      <c r="C219" s="169"/>
      <c r="D219" s="202"/>
      <c r="E219" s="212"/>
      <c r="F219" s="178">
        <f t="shared" si="25"/>
        <v>0</v>
      </c>
      <c r="G219" s="205"/>
      <c r="H219" s="178">
        <f t="shared" si="26"/>
        <v>0</v>
      </c>
      <c r="I219" s="177"/>
      <c r="J219" s="179"/>
      <c r="K219" s="214"/>
      <c r="L219" s="180"/>
      <c r="M219" s="181"/>
      <c r="N219" s="181"/>
      <c r="O219" s="182"/>
      <c r="P219" s="215"/>
      <c r="Q219" s="216"/>
      <c r="R219" s="216"/>
      <c r="S219" s="215"/>
      <c r="T219" s="217"/>
      <c r="U219" s="215"/>
    </row>
    <row r="220" spans="1:21" s="191" customFormat="1" ht="15" x14ac:dyDescent="0.4">
      <c r="A220" s="169">
        <f t="shared" si="0"/>
        <v>209</v>
      </c>
      <c r="B220" s="213" t="s">
        <v>95</v>
      </c>
      <c r="C220" s="169"/>
      <c r="D220" s="202"/>
      <c r="E220" s="212"/>
      <c r="F220" s="178">
        <f t="shared" si="25"/>
        <v>0</v>
      </c>
      <c r="G220" s="205"/>
      <c r="H220" s="178">
        <f t="shared" si="26"/>
        <v>0</v>
      </c>
      <c r="I220" s="177"/>
      <c r="J220" s="179"/>
      <c r="K220" s="214"/>
      <c r="L220" s="180"/>
      <c r="M220" s="181"/>
      <c r="N220" s="181"/>
      <c r="O220" s="182"/>
      <c r="P220" s="215"/>
      <c r="Q220" s="216"/>
      <c r="R220" s="216"/>
      <c r="S220" s="215"/>
      <c r="T220" s="217"/>
      <c r="U220" s="215"/>
    </row>
    <row r="221" spans="1:21" s="191" customFormat="1" ht="15" x14ac:dyDescent="0.4">
      <c r="A221" s="169">
        <f t="shared" si="0"/>
        <v>210</v>
      </c>
      <c r="B221" s="159" t="s">
        <v>619</v>
      </c>
      <c r="C221" s="201">
        <v>2</v>
      </c>
      <c r="D221" s="207" t="s">
        <v>290</v>
      </c>
      <c r="E221" s="208">
        <f t="shared" si="30"/>
        <v>10320</v>
      </c>
      <c r="F221" s="178">
        <f t="shared" si="25"/>
        <v>20640</v>
      </c>
      <c r="G221" s="205">
        <f t="shared" si="29"/>
        <v>6880</v>
      </c>
      <c r="H221" s="178">
        <f t="shared" si="26"/>
        <v>13760</v>
      </c>
      <c r="I221" s="177">
        <f t="shared" si="27"/>
        <v>17200</v>
      </c>
      <c r="J221" s="179">
        <f t="shared" si="28"/>
        <v>34400</v>
      </c>
      <c r="K221" s="214"/>
      <c r="L221" s="180"/>
      <c r="M221" s="181">
        <v>9600</v>
      </c>
      <c r="N221" s="181">
        <v>6400</v>
      </c>
      <c r="O221" s="182"/>
      <c r="P221" s="215"/>
      <c r="Q221" s="216"/>
      <c r="R221" s="216"/>
      <c r="S221" s="215"/>
      <c r="T221" s="217"/>
      <c r="U221" s="215"/>
    </row>
    <row r="222" spans="1:21" s="191" customFormat="1" ht="15" x14ac:dyDescent="0.4">
      <c r="A222" s="169">
        <f t="shared" si="0"/>
        <v>211</v>
      </c>
      <c r="B222" s="209" t="s">
        <v>620</v>
      </c>
      <c r="C222" s="201">
        <v>1</v>
      </c>
      <c r="D222" s="207" t="s">
        <v>290</v>
      </c>
      <c r="E222" s="208">
        <f t="shared" si="30"/>
        <v>53.75</v>
      </c>
      <c r="F222" s="178">
        <f t="shared" si="25"/>
        <v>53.75</v>
      </c>
      <c r="G222" s="205">
        <f t="shared" si="29"/>
        <v>430</v>
      </c>
      <c r="H222" s="178">
        <f t="shared" si="26"/>
        <v>430</v>
      </c>
      <c r="I222" s="177">
        <f t="shared" si="27"/>
        <v>483.75</v>
      </c>
      <c r="J222" s="179">
        <f t="shared" si="28"/>
        <v>483.75</v>
      </c>
      <c r="K222" s="214"/>
      <c r="L222" s="180"/>
      <c r="M222" s="181">
        <v>50</v>
      </c>
      <c r="N222" s="181">
        <v>400</v>
      </c>
      <c r="O222" s="182"/>
      <c r="P222" s="215"/>
      <c r="Q222" s="216"/>
      <c r="R222" s="216"/>
      <c r="S222" s="215"/>
      <c r="T222" s="217"/>
      <c r="U222" s="215"/>
    </row>
    <row r="223" spans="1:21" s="191" customFormat="1" ht="15" x14ac:dyDescent="0.4">
      <c r="A223" s="169">
        <f t="shared" ref="A223:A286" si="31">ROW()-11</f>
        <v>212</v>
      </c>
      <c r="B223" s="209" t="s">
        <v>621</v>
      </c>
      <c r="C223" s="201">
        <v>3</v>
      </c>
      <c r="D223" s="207" t="s">
        <v>290</v>
      </c>
      <c r="E223" s="208">
        <f t="shared" si="30"/>
        <v>967.5</v>
      </c>
      <c r="F223" s="178">
        <f t="shared" si="25"/>
        <v>2902.5</v>
      </c>
      <c r="G223" s="205">
        <f t="shared" si="29"/>
        <v>645</v>
      </c>
      <c r="H223" s="178">
        <f t="shared" si="26"/>
        <v>1935</v>
      </c>
      <c r="I223" s="177">
        <f t="shared" si="27"/>
        <v>1612.5</v>
      </c>
      <c r="J223" s="179">
        <f t="shared" si="28"/>
        <v>4837.5</v>
      </c>
      <c r="K223" s="214"/>
      <c r="L223" s="180"/>
      <c r="M223" s="181">
        <v>900</v>
      </c>
      <c r="N223" s="181">
        <v>600</v>
      </c>
      <c r="O223" s="182"/>
      <c r="P223" s="215"/>
      <c r="Q223" s="216"/>
      <c r="R223" s="216"/>
      <c r="S223" s="215"/>
      <c r="T223" s="217"/>
      <c r="U223" s="215"/>
    </row>
    <row r="224" spans="1:21" s="191" customFormat="1" ht="15" x14ac:dyDescent="0.4">
      <c r="A224" s="169">
        <f t="shared" si="31"/>
        <v>213</v>
      </c>
      <c r="B224" s="218" t="s">
        <v>622</v>
      </c>
      <c r="C224" s="169"/>
      <c r="D224" s="202"/>
      <c r="E224" s="212"/>
      <c r="F224" s="178">
        <f t="shared" si="25"/>
        <v>0</v>
      </c>
      <c r="G224" s="205"/>
      <c r="H224" s="178">
        <f t="shared" si="26"/>
        <v>0</v>
      </c>
      <c r="I224" s="177"/>
      <c r="J224" s="179"/>
      <c r="K224" s="214"/>
      <c r="L224" s="180"/>
      <c r="M224" s="181"/>
      <c r="N224" s="181"/>
      <c r="O224" s="182"/>
      <c r="P224" s="215"/>
      <c r="Q224" s="216"/>
      <c r="R224" s="216"/>
      <c r="S224" s="215"/>
      <c r="T224" s="217"/>
      <c r="U224" s="215"/>
    </row>
    <row r="225" spans="1:21" s="191" customFormat="1" ht="15" x14ac:dyDescent="0.4">
      <c r="A225" s="169">
        <f t="shared" si="31"/>
        <v>214</v>
      </c>
      <c r="B225" s="159" t="s">
        <v>623</v>
      </c>
      <c r="C225" s="201">
        <v>7</v>
      </c>
      <c r="D225" s="207" t="s">
        <v>290</v>
      </c>
      <c r="E225" s="208">
        <f t="shared" si="30"/>
        <v>107.5</v>
      </c>
      <c r="F225" s="178">
        <f t="shared" si="25"/>
        <v>752.5</v>
      </c>
      <c r="G225" s="205">
        <f t="shared" si="29"/>
        <v>430</v>
      </c>
      <c r="H225" s="178">
        <f t="shared" si="26"/>
        <v>3010</v>
      </c>
      <c r="I225" s="177">
        <f t="shared" si="27"/>
        <v>537.5</v>
      </c>
      <c r="J225" s="179">
        <f t="shared" si="28"/>
        <v>3762.5</v>
      </c>
      <c r="K225" s="214"/>
      <c r="L225" s="180"/>
      <c r="M225" s="181">
        <v>100</v>
      </c>
      <c r="N225" s="181">
        <v>400</v>
      </c>
      <c r="O225" s="182"/>
      <c r="P225" s="215"/>
      <c r="Q225" s="216"/>
      <c r="R225" s="216"/>
      <c r="S225" s="215"/>
      <c r="T225" s="217"/>
      <c r="U225" s="215"/>
    </row>
    <row r="226" spans="1:21" s="191" customFormat="1" ht="15" x14ac:dyDescent="0.4">
      <c r="A226" s="169">
        <f t="shared" si="31"/>
        <v>215</v>
      </c>
      <c r="B226" s="159" t="s">
        <v>624</v>
      </c>
      <c r="C226" s="201">
        <v>2</v>
      </c>
      <c r="D226" s="207" t="s">
        <v>290</v>
      </c>
      <c r="E226" s="208">
        <f t="shared" si="30"/>
        <v>43</v>
      </c>
      <c r="F226" s="178">
        <f t="shared" si="25"/>
        <v>86</v>
      </c>
      <c r="G226" s="205">
        <f t="shared" si="29"/>
        <v>64.5</v>
      </c>
      <c r="H226" s="178">
        <f t="shared" si="26"/>
        <v>129</v>
      </c>
      <c r="I226" s="177">
        <f t="shared" si="27"/>
        <v>107.5</v>
      </c>
      <c r="J226" s="179">
        <f t="shared" si="28"/>
        <v>215</v>
      </c>
      <c r="K226" s="214"/>
      <c r="L226" s="180"/>
      <c r="M226" s="181">
        <v>40</v>
      </c>
      <c r="N226" s="181">
        <v>60</v>
      </c>
      <c r="O226" s="182"/>
      <c r="P226" s="215"/>
      <c r="Q226" s="216"/>
      <c r="R226" s="216"/>
      <c r="S226" s="215"/>
      <c r="T226" s="217"/>
      <c r="U226" s="215"/>
    </row>
    <row r="227" spans="1:21" s="191" customFormat="1" ht="15" x14ac:dyDescent="0.4">
      <c r="A227" s="169">
        <f t="shared" si="31"/>
        <v>216</v>
      </c>
      <c r="B227" s="219" t="s">
        <v>625</v>
      </c>
      <c r="C227" s="201">
        <v>144</v>
      </c>
      <c r="D227" s="207" t="s">
        <v>300</v>
      </c>
      <c r="E227" s="208">
        <f t="shared" si="30"/>
        <v>60.909499999999994</v>
      </c>
      <c r="F227" s="178">
        <f t="shared" si="25"/>
        <v>8770.9679999999989</v>
      </c>
      <c r="G227" s="205">
        <f t="shared" si="29"/>
        <v>91.364249999999984</v>
      </c>
      <c r="H227" s="178">
        <f t="shared" si="26"/>
        <v>13156.451999999997</v>
      </c>
      <c r="I227" s="177">
        <f t="shared" si="27"/>
        <v>152.27374999999998</v>
      </c>
      <c r="J227" s="179">
        <f t="shared" si="28"/>
        <v>21927.42</v>
      </c>
      <c r="K227" s="214"/>
      <c r="L227" s="180"/>
      <c r="M227" s="181">
        <v>56.66</v>
      </c>
      <c r="N227" s="181">
        <v>84.99</v>
      </c>
      <c r="O227" s="182"/>
      <c r="P227" s="215"/>
      <c r="Q227" s="216"/>
      <c r="R227" s="216"/>
      <c r="S227" s="215"/>
      <c r="T227" s="217"/>
      <c r="U227" s="215"/>
    </row>
    <row r="228" spans="1:21" s="191" customFormat="1" ht="15" x14ac:dyDescent="0.4">
      <c r="A228" s="169">
        <f t="shared" si="31"/>
        <v>217</v>
      </c>
      <c r="B228" s="209" t="s">
        <v>626</v>
      </c>
      <c r="C228" s="201">
        <v>480</v>
      </c>
      <c r="D228" s="207" t="s">
        <v>300</v>
      </c>
      <c r="E228" s="208">
        <f t="shared" si="30"/>
        <v>178.40700000000001</v>
      </c>
      <c r="F228" s="178">
        <f t="shared" si="25"/>
        <v>85635.36</v>
      </c>
      <c r="G228" s="205">
        <f t="shared" si="29"/>
        <v>118.93800000000002</v>
      </c>
      <c r="H228" s="178">
        <f t="shared" si="26"/>
        <v>57090.240000000005</v>
      </c>
      <c r="I228" s="177">
        <f t="shared" si="27"/>
        <v>297.34500000000003</v>
      </c>
      <c r="J228" s="179">
        <f t="shared" si="28"/>
        <v>142725.6</v>
      </c>
      <c r="K228" s="214"/>
      <c r="L228" s="180"/>
      <c r="M228" s="181">
        <v>165.96</v>
      </c>
      <c r="N228" s="181">
        <v>110.64000000000001</v>
      </c>
      <c r="O228" s="182"/>
      <c r="P228" s="215"/>
      <c r="Q228" s="216"/>
      <c r="R228" s="216"/>
      <c r="S228" s="215"/>
      <c r="T228" s="217"/>
      <c r="U228" s="215"/>
    </row>
    <row r="229" spans="1:21" s="191" customFormat="1" ht="15" x14ac:dyDescent="0.4">
      <c r="A229" s="169">
        <f t="shared" si="31"/>
        <v>218</v>
      </c>
      <c r="B229" s="209" t="s">
        <v>627</v>
      </c>
      <c r="C229" s="201">
        <v>219</v>
      </c>
      <c r="D229" s="207" t="s">
        <v>300</v>
      </c>
      <c r="E229" s="208">
        <f t="shared" si="30"/>
        <v>144.86699999999999</v>
      </c>
      <c r="F229" s="178">
        <f t="shared" si="25"/>
        <v>31725.873</v>
      </c>
      <c r="G229" s="205">
        <f t="shared" si="29"/>
        <v>96.578000000000003</v>
      </c>
      <c r="H229" s="178">
        <f t="shared" si="26"/>
        <v>21150.582000000002</v>
      </c>
      <c r="I229" s="177">
        <f t="shared" si="27"/>
        <v>241.44499999999999</v>
      </c>
      <c r="J229" s="179">
        <f t="shared" si="28"/>
        <v>52876.455000000002</v>
      </c>
      <c r="K229" s="214"/>
      <c r="L229" s="180"/>
      <c r="M229" s="181">
        <v>134.76</v>
      </c>
      <c r="N229" s="181">
        <v>89.84</v>
      </c>
      <c r="O229" s="182"/>
      <c r="P229" s="215"/>
      <c r="Q229" s="216"/>
      <c r="R229" s="216"/>
      <c r="S229" s="215"/>
      <c r="T229" s="217"/>
      <c r="U229" s="215"/>
    </row>
    <row r="230" spans="1:21" s="191" customFormat="1" ht="15" x14ac:dyDescent="0.4">
      <c r="A230" s="169">
        <f t="shared" si="31"/>
        <v>219</v>
      </c>
      <c r="B230" s="209" t="s">
        <v>628</v>
      </c>
      <c r="C230" s="201">
        <v>145</v>
      </c>
      <c r="D230" s="207" t="s">
        <v>300</v>
      </c>
      <c r="E230" s="208">
        <f t="shared" si="30"/>
        <v>144.86699999999999</v>
      </c>
      <c r="F230" s="178">
        <f t="shared" si="25"/>
        <v>21005.715</v>
      </c>
      <c r="G230" s="205">
        <f t="shared" si="29"/>
        <v>96.578000000000003</v>
      </c>
      <c r="H230" s="178">
        <f t="shared" si="26"/>
        <v>14003.810000000001</v>
      </c>
      <c r="I230" s="177">
        <f t="shared" si="27"/>
        <v>241.44499999999999</v>
      </c>
      <c r="J230" s="179">
        <f t="shared" si="28"/>
        <v>35009.525000000001</v>
      </c>
      <c r="K230" s="214"/>
      <c r="L230" s="180"/>
      <c r="M230" s="181">
        <v>134.76</v>
      </c>
      <c r="N230" s="181">
        <v>89.84</v>
      </c>
      <c r="O230" s="182"/>
      <c r="P230" s="215"/>
      <c r="Q230" s="216"/>
      <c r="R230" s="216"/>
      <c r="S230" s="215"/>
      <c r="T230" s="217"/>
      <c r="U230" s="215"/>
    </row>
    <row r="231" spans="1:21" s="191" customFormat="1" ht="15" x14ac:dyDescent="0.4">
      <c r="A231" s="169">
        <f t="shared" si="31"/>
        <v>220</v>
      </c>
      <c r="B231" s="209" t="s">
        <v>629</v>
      </c>
      <c r="C231" s="201">
        <v>480</v>
      </c>
      <c r="D231" s="207" t="s">
        <v>300</v>
      </c>
      <c r="E231" s="208">
        <f t="shared" si="30"/>
        <v>86.558999999999997</v>
      </c>
      <c r="F231" s="178">
        <f t="shared" si="25"/>
        <v>41548.32</v>
      </c>
      <c r="G231" s="205">
        <f t="shared" si="29"/>
        <v>57.705999999999989</v>
      </c>
      <c r="H231" s="178">
        <f t="shared" si="26"/>
        <v>27698.879999999994</v>
      </c>
      <c r="I231" s="177">
        <f t="shared" si="27"/>
        <v>144.26499999999999</v>
      </c>
      <c r="J231" s="179">
        <f t="shared" si="28"/>
        <v>69247.199999999997</v>
      </c>
      <c r="K231" s="214"/>
      <c r="L231" s="180"/>
      <c r="M231" s="181">
        <v>80.52</v>
      </c>
      <c r="N231" s="181">
        <v>53.679999999999993</v>
      </c>
      <c r="O231" s="182"/>
      <c r="P231" s="215"/>
      <c r="Q231" s="216"/>
      <c r="R231" s="216"/>
      <c r="S231" s="215"/>
      <c r="T231" s="217"/>
      <c r="U231" s="215"/>
    </row>
    <row r="232" spans="1:21" s="191" customFormat="1" ht="15" x14ac:dyDescent="0.4">
      <c r="A232" s="169">
        <f t="shared" si="31"/>
        <v>221</v>
      </c>
      <c r="B232" s="209" t="s">
        <v>630</v>
      </c>
      <c r="C232" s="201">
        <v>145</v>
      </c>
      <c r="D232" s="207" t="s">
        <v>300</v>
      </c>
      <c r="E232" s="208">
        <f t="shared" si="30"/>
        <v>55.52805</v>
      </c>
      <c r="F232" s="178">
        <f t="shared" si="25"/>
        <v>8051.5672500000001</v>
      </c>
      <c r="G232" s="205">
        <f t="shared" si="29"/>
        <v>37.018699999999995</v>
      </c>
      <c r="H232" s="178">
        <f t="shared" si="26"/>
        <v>5367.7114999999994</v>
      </c>
      <c r="I232" s="177">
        <f t="shared" si="27"/>
        <v>92.546750000000003</v>
      </c>
      <c r="J232" s="179">
        <f t="shared" si="28"/>
        <v>13419.278750000001</v>
      </c>
      <c r="K232" s="214"/>
      <c r="L232" s="180"/>
      <c r="M232" s="181">
        <v>51.654000000000003</v>
      </c>
      <c r="N232" s="181">
        <v>34.436</v>
      </c>
      <c r="O232" s="182"/>
      <c r="P232" s="215"/>
      <c r="Q232" s="216"/>
      <c r="R232" s="216"/>
      <c r="S232" s="215"/>
      <c r="T232" s="217"/>
      <c r="U232" s="215"/>
    </row>
    <row r="233" spans="1:21" s="191" customFormat="1" ht="15" x14ac:dyDescent="0.4">
      <c r="A233" s="169">
        <f t="shared" si="31"/>
        <v>222</v>
      </c>
      <c r="B233" s="209" t="s">
        <v>631</v>
      </c>
      <c r="C233" s="201">
        <v>145</v>
      </c>
      <c r="D233" s="207" t="s">
        <v>300</v>
      </c>
      <c r="E233" s="208">
        <f t="shared" si="30"/>
        <v>55.52805</v>
      </c>
      <c r="F233" s="178">
        <f t="shared" si="25"/>
        <v>8051.5672500000001</v>
      </c>
      <c r="G233" s="205">
        <f t="shared" si="29"/>
        <v>37.018699999999995</v>
      </c>
      <c r="H233" s="178">
        <f t="shared" si="26"/>
        <v>5367.7114999999994</v>
      </c>
      <c r="I233" s="177">
        <f t="shared" si="27"/>
        <v>92.546750000000003</v>
      </c>
      <c r="J233" s="179">
        <f t="shared" si="28"/>
        <v>13419.278750000001</v>
      </c>
      <c r="K233" s="214"/>
      <c r="L233" s="180"/>
      <c r="M233" s="181">
        <v>51.654000000000003</v>
      </c>
      <c r="N233" s="181">
        <v>34.436</v>
      </c>
      <c r="O233" s="182"/>
      <c r="P233" s="215"/>
      <c r="Q233" s="216"/>
      <c r="R233" s="216"/>
      <c r="S233" s="215"/>
      <c r="T233" s="217"/>
      <c r="U233" s="215"/>
    </row>
    <row r="234" spans="1:21" s="191" customFormat="1" ht="15" x14ac:dyDescent="0.4">
      <c r="A234" s="169">
        <f t="shared" si="31"/>
        <v>223</v>
      </c>
      <c r="B234" s="209" t="s">
        <v>632</v>
      </c>
      <c r="C234" s="201">
        <v>219</v>
      </c>
      <c r="D234" s="207" t="s">
        <v>300</v>
      </c>
      <c r="E234" s="208">
        <f t="shared" si="30"/>
        <v>55.52805</v>
      </c>
      <c r="F234" s="178">
        <f t="shared" si="25"/>
        <v>12160.642949999999</v>
      </c>
      <c r="G234" s="205">
        <f t="shared" si="29"/>
        <v>37.018699999999995</v>
      </c>
      <c r="H234" s="178">
        <f t="shared" si="26"/>
        <v>8107.095299999999</v>
      </c>
      <c r="I234" s="177">
        <f t="shared" si="27"/>
        <v>92.546750000000003</v>
      </c>
      <c r="J234" s="179">
        <f t="shared" si="28"/>
        <v>20267.738250000002</v>
      </c>
      <c r="K234" s="214"/>
      <c r="L234" s="180"/>
      <c r="M234" s="181">
        <v>51.654000000000003</v>
      </c>
      <c r="N234" s="181">
        <v>34.436</v>
      </c>
      <c r="O234" s="182"/>
      <c r="P234" s="215"/>
      <c r="Q234" s="216"/>
      <c r="R234" s="216"/>
      <c r="S234" s="215"/>
      <c r="T234" s="217"/>
      <c r="U234" s="215"/>
    </row>
    <row r="235" spans="1:21" s="191" customFormat="1" ht="15" x14ac:dyDescent="0.4">
      <c r="A235" s="169">
        <f t="shared" si="31"/>
        <v>224</v>
      </c>
      <c r="B235" s="209" t="s">
        <v>633</v>
      </c>
      <c r="C235" s="201">
        <v>623</v>
      </c>
      <c r="D235" s="207" t="s">
        <v>300</v>
      </c>
      <c r="E235" s="208">
        <f t="shared" si="30"/>
        <v>41.924999999999997</v>
      </c>
      <c r="F235" s="178">
        <f t="shared" si="25"/>
        <v>26119.274999999998</v>
      </c>
      <c r="G235" s="205">
        <f t="shared" si="29"/>
        <v>27.95</v>
      </c>
      <c r="H235" s="178">
        <f t="shared" si="26"/>
        <v>17412.849999999999</v>
      </c>
      <c r="I235" s="177">
        <f t="shared" si="27"/>
        <v>69.875</v>
      </c>
      <c r="J235" s="179">
        <f t="shared" si="28"/>
        <v>43532.125</v>
      </c>
      <c r="K235" s="214"/>
      <c r="L235" s="180"/>
      <c r="M235" s="181">
        <v>39</v>
      </c>
      <c r="N235" s="181">
        <v>26</v>
      </c>
      <c r="O235" s="182"/>
      <c r="P235" s="215"/>
      <c r="Q235" s="216"/>
      <c r="R235" s="216"/>
      <c r="S235" s="215"/>
      <c r="T235" s="217"/>
      <c r="U235" s="215"/>
    </row>
    <row r="236" spans="1:21" s="191" customFormat="1" ht="15" x14ac:dyDescent="0.4">
      <c r="A236" s="169">
        <f t="shared" si="31"/>
        <v>225</v>
      </c>
      <c r="B236" s="220" t="s">
        <v>634</v>
      </c>
      <c r="C236" s="201">
        <v>144</v>
      </c>
      <c r="D236" s="207" t="s">
        <v>300</v>
      </c>
      <c r="E236" s="208">
        <f t="shared" si="30"/>
        <v>41.924999999999997</v>
      </c>
      <c r="F236" s="178">
        <f t="shared" si="25"/>
        <v>6037.2</v>
      </c>
      <c r="G236" s="205">
        <f t="shared" si="29"/>
        <v>27.95</v>
      </c>
      <c r="H236" s="178">
        <f t="shared" si="26"/>
        <v>4024.7999999999997</v>
      </c>
      <c r="I236" s="177">
        <f t="shared" si="27"/>
        <v>69.875</v>
      </c>
      <c r="J236" s="179">
        <f t="shared" si="28"/>
        <v>10062</v>
      </c>
      <c r="K236" s="214"/>
      <c r="L236" s="180"/>
      <c r="M236" s="181">
        <v>39</v>
      </c>
      <c r="N236" s="181">
        <v>26</v>
      </c>
      <c r="O236" s="182"/>
      <c r="P236" s="215"/>
      <c r="Q236" s="216"/>
      <c r="R236" s="216"/>
      <c r="S236" s="215"/>
      <c r="T236" s="217"/>
      <c r="U236" s="215"/>
    </row>
    <row r="237" spans="1:21" s="191" customFormat="1" ht="15" x14ac:dyDescent="0.4">
      <c r="A237" s="169">
        <f t="shared" si="31"/>
        <v>226</v>
      </c>
      <c r="B237" s="221" t="s">
        <v>635</v>
      </c>
      <c r="C237" s="169"/>
      <c r="D237" s="202"/>
      <c r="E237" s="212"/>
      <c r="F237" s="178">
        <f t="shared" si="25"/>
        <v>0</v>
      </c>
      <c r="G237" s="205"/>
      <c r="H237" s="178">
        <f t="shared" si="26"/>
        <v>0</v>
      </c>
      <c r="I237" s="177"/>
      <c r="J237" s="179"/>
      <c r="K237" s="214"/>
      <c r="L237" s="180"/>
      <c r="M237" s="181"/>
      <c r="N237" s="181"/>
      <c r="O237" s="182"/>
      <c r="P237" s="215"/>
      <c r="Q237" s="216"/>
      <c r="R237" s="216"/>
      <c r="S237" s="215"/>
      <c r="T237" s="217"/>
      <c r="U237" s="215"/>
    </row>
    <row r="238" spans="1:21" s="191" customFormat="1" ht="15" x14ac:dyDescent="0.4">
      <c r="A238" s="169">
        <f t="shared" si="31"/>
        <v>227</v>
      </c>
      <c r="B238" s="222" t="s">
        <v>615</v>
      </c>
      <c r="C238" s="169"/>
      <c r="D238" s="202"/>
      <c r="E238" s="212"/>
      <c r="F238" s="178">
        <f t="shared" si="25"/>
        <v>0</v>
      </c>
      <c r="G238" s="205"/>
      <c r="H238" s="178">
        <f t="shared" si="26"/>
        <v>0</v>
      </c>
      <c r="I238" s="177"/>
      <c r="J238" s="179"/>
      <c r="K238" s="214"/>
      <c r="L238" s="180"/>
      <c r="M238" s="181"/>
      <c r="N238" s="181"/>
      <c r="O238" s="182"/>
      <c r="P238" s="215"/>
      <c r="Q238" s="216"/>
      <c r="R238" s="216"/>
      <c r="S238" s="215"/>
      <c r="T238" s="217"/>
      <c r="U238" s="215"/>
    </row>
    <row r="239" spans="1:21" s="191" customFormat="1" ht="15" x14ac:dyDescent="0.4">
      <c r="A239" s="169">
        <f t="shared" si="31"/>
        <v>228</v>
      </c>
      <c r="B239" s="223" t="s">
        <v>636</v>
      </c>
      <c r="C239" s="201">
        <v>76</v>
      </c>
      <c r="D239" s="207" t="s">
        <v>300</v>
      </c>
      <c r="E239" s="208"/>
      <c r="F239" s="178">
        <f t="shared" si="25"/>
        <v>0</v>
      </c>
      <c r="G239" s="205">
        <f t="shared" si="29"/>
        <v>53.75</v>
      </c>
      <c r="H239" s="178">
        <f t="shared" si="26"/>
        <v>4085</v>
      </c>
      <c r="I239" s="177">
        <f t="shared" si="27"/>
        <v>53.75</v>
      </c>
      <c r="J239" s="179">
        <f t="shared" si="28"/>
        <v>4085</v>
      </c>
      <c r="K239" s="214"/>
      <c r="L239" s="180"/>
      <c r="M239" s="181">
        <v>0</v>
      </c>
      <c r="N239" s="181">
        <v>50</v>
      </c>
      <c r="O239" s="182"/>
      <c r="P239" s="215"/>
      <c r="Q239" s="216"/>
      <c r="R239" s="216"/>
      <c r="S239" s="215"/>
      <c r="T239" s="217"/>
      <c r="U239" s="215"/>
    </row>
    <row r="240" spans="1:21" s="191" customFormat="1" ht="15" x14ac:dyDescent="0.4">
      <c r="A240" s="169">
        <f t="shared" si="31"/>
        <v>229</v>
      </c>
      <c r="B240" s="224" t="s">
        <v>637</v>
      </c>
      <c r="C240" s="201">
        <v>2</v>
      </c>
      <c r="D240" s="207" t="s">
        <v>300</v>
      </c>
      <c r="E240" s="208"/>
      <c r="F240" s="178">
        <f t="shared" si="25"/>
        <v>0</v>
      </c>
      <c r="G240" s="205">
        <f t="shared" si="29"/>
        <v>537.5</v>
      </c>
      <c r="H240" s="178">
        <f t="shared" si="26"/>
        <v>1075</v>
      </c>
      <c r="I240" s="177">
        <f t="shared" si="27"/>
        <v>537.5</v>
      </c>
      <c r="J240" s="179">
        <f t="shared" si="28"/>
        <v>1075</v>
      </c>
      <c r="K240" s="214"/>
      <c r="L240" s="180"/>
      <c r="M240" s="181">
        <v>0</v>
      </c>
      <c r="N240" s="181">
        <v>500</v>
      </c>
      <c r="O240" s="182"/>
      <c r="P240" s="215"/>
      <c r="Q240" s="216"/>
      <c r="R240" s="216"/>
      <c r="S240" s="215"/>
      <c r="T240" s="217"/>
      <c r="U240" s="215"/>
    </row>
    <row r="241" spans="1:21" s="191" customFormat="1" ht="15" x14ac:dyDescent="0.4">
      <c r="A241" s="169">
        <f t="shared" si="31"/>
        <v>230</v>
      </c>
      <c r="B241" s="225" t="s">
        <v>638</v>
      </c>
      <c r="C241" s="169"/>
      <c r="D241" s="202"/>
      <c r="E241" s="212"/>
      <c r="F241" s="178">
        <f t="shared" si="25"/>
        <v>0</v>
      </c>
      <c r="G241" s="205"/>
      <c r="H241" s="178">
        <f t="shared" si="26"/>
        <v>0</v>
      </c>
      <c r="I241" s="177"/>
      <c r="J241" s="179"/>
      <c r="K241" s="214"/>
      <c r="L241" s="180"/>
      <c r="M241" s="181"/>
      <c r="N241" s="181"/>
      <c r="O241" s="182"/>
      <c r="P241" s="215"/>
      <c r="Q241" s="216"/>
      <c r="R241" s="216"/>
      <c r="S241" s="215"/>
      <c r="T241" s="217"/>
      <c r="U241" s="215"/>
    </row>
    <row r="242" spans="1:21" s="191" customFormat="1" ht="15" x14ac:dyDescent="0.4">
      <c r="A242" s="169">
        <f t="shared" si="31"/>
        <v>231</v>
      </c>
      <c r="B242" s="223" t="s">
        <v>639</v>
      </c>
      <c r="C242" s="201">
        <v>6</v>
      </c>
      <c r="D242" s="207" t="s">
        <v>290</v>
      </c>
      <c r="E242" s="208">
        <f t="shared" si="30"/>
        <v>2257.5</v>
      </c>
      <c r="F242" s="178">
        <f t="shared" si="25"/>
        <v>13545</v>
      </c>
      <c r="G242" s="205">
        <f t="shared" si="29"/>
        <v>1505</v>
      </c>
      <c r="H242" s="178">
        <f t="shared" si="26"/>
        <v>9030</v>
      </c>
      <c r="I242" s="177">
        <f t="shared" si="27"/>
        <v>3762.5</v>
      </c>
      <c r="J242" s="179">
        <f t="shared" si="28"/>
        <v>22575</v>
      </c>
      <c r="K242" s="214"/>
      <c r="L242" s="180"/>
      <c r="M242" s="181">
        <v>2100</v>
      </c>
      <c r="N242" s="181">
        <v>1400</v>
      </c>
      <c r="O242" s="182"/>
      <c r="P242" s="215"/>
      <c r="Q242" s="216"/>
      <c r="R242" s="216"/>
      <c r="S242" s="215"/>
      <c r="T242" s="217"/>
      <c r="U242" s="215"/>
    </row>
    <row r="243" spans="1:21" s="191" customFormat="1" ht="15" x14ac:dyDescent="0.4">
      <c r="A243" s="169">
        <f t="shared" si="31"/>
        <v>232</v>
      </c>
      <c r="B243" s="224" t="s">
        <v>640</v>
      </c>
      <c r="C243" s="201">
        <v>1</v>
      </c>
      <c r="D243" s="207" t="s">
        <v>290</v>
      </c>
      <c r="E243" s="208">
        <f t="shared" si="30"/>
        <v>1161</v>
      </c>
      <c r="F243" s="178">
        <f t="shared" si="25"/>
        <v>1161</v>
      </c>
      <c r="G243" s="205">
        <f t="shared" si="29"/>
        <v>774</v>
      </c>
      <c r="H243" s="178">
        <f t="shared" si="26"/>
        <v>774</v>
      </c>
      <c r="I243" s="177">
        <f t="shared" si="27"/>
        <v>1935</v>
      </c>
      <c r="J243" s="179">
        <f t="shared" si="28"/>
        <v>1935</v>
      </c>
      <c r="K243" s="214"/>
      <c r="L243" s="180"/>
      <c r="M243" s="181">
        <v>1080</v>
      </c>
      <c r="N243" s="181">
        <v>720</v>
      </c>
      <c r="O243" s="182"/>
      <c r="P243" s="215"/>
      <c r="Q243" s="216"/>
      <c r="R243" s="216"/>
      <c r="S243" s="215"/>
      <c r="T243" s="217"/>
      <c r="U243" s="215"/>
    </row>
    <row r="244" spans="1:21" s="191" customFormat="1" ht="15" x14ac:dyDescent="0.4">
      <c r="A244" s="169">
        <f t="shared" si="31"/>
        <v>233</v>
      </c>
      <c r="B244" s="226" t="s">
        <v>641</v>
      </c>
      <c r="C244" s="179">
        <v>13</v>
      </c>
      <c r="D244" s="207" t="s">
        <v>290</v>
      </c>
      <c r="E244" s="208">
        <f t="shared" si="30"/>
        <v>8570.0504999999994</v>
      </c>
      <c r="F244" s="178">
        <f t="shared" si="25"/>
        <v>111410.6565</v>
      </c>
      <c r="G244" s="205">
        <f t="shared" si="29"/>
        <v>5713.3669999999993</v>
      </c>
      <c r="H244" s="178">
        <f t="shared" si="26"/>
        <v>74273.770999999993</v>
      </c>
      <c r="I244" s="177">
        <f t="shared" si="27"/>
        <v>14283.4175</v>
      </c>
      <c r="J244" s="179">
        <f t="shared" si="28"/>
        <v>185684.42749999999</v>
      </c>
      <c r="K244" s="214"/>
      <c r="L244" s="180"/>
      <c r="M244" s="181">
        <v>7972.14</v>
      </c>
      <c r="N244" s="181">
        <v>5314.7599999999993</v>
      </c>
      <c r="O244" s="182"/>
      <c r="P244" s="215"/>
      <c r="Q244" s="216"/>
      <c r="R244" s="216"/>
      <c r="S244" s="215"/>
      <c r="T244" s="217"/>
      <c r="U244" s="215"/>
    </row>
    <row r="245" spans="1:21" s="191" customFormat="1" ht="15" x14ac:dyDescent="0.4">
      <c r="A245" s="169">
        <f t="shared" si="31"/>
        <v>234</v>
      </c>
      <c r="B245" s="226" t="s">
        <v>642</v>
      </c>
      <c r="C245" s="179">
        <v>1</v>
      </c>
      <c r="D245" s="207" t="s">
        <v>290</v>
      </c>
      <c r="E245" s="208">
        <f t="shared" si="30"/>
        <v>940.625</v>
      </c>
      <c r="F245" s="178">
        <f t="shared" si="25"/>
        <v>940.625</v>
      </c>
      <c r="G245" s="205">
        <f t="shared" si="29"/>
        <v>1746.875</v>
      </c>
      <c r="H245" s="178">
        <f t="shared" si="26"/>
        <v>1746.875</v>
      </c>
      <c r="I245" s="177">
        <f t="shared" si="27"/>
        <v>2687.5</v>
      </c>
      <c r="J245" s="179">
        <f t="shared" si="28"/>
        <v>2687.5</v>
      </c>
      <c r="K245" s="214"/>
      <c r="L245" s="180"/>
      <c r="M245" s="181">
        <v>875</v>
      </c>
      <c r="N245" s="181">
        <v>1625</v>
      </c>
      <c r="O245" s="182"/>
      <c r="P245" s="215"/>
      <c r="Q245" s="216"/>
      <c r="R245" s="216"/>
      <c r="S245" s="215"/>
      <c r="T245" s="217"/>
      <c r="U245" s="215"/>
    </row>
    <row r="246" spans="1:21" s="191" customFormat="1" ht="15" x14ac:dyDescent="0.4">
      <c r="A246" s="169">
        <f t="shared" si="31"/>
        <v>235</v>
      </c>
      <c r="B246" s="224" t="s">
        <v>643</v>
      </c>
      <c r="C246" s="201">
        <v>2</v>
      </c>
      <c r="D246" s="207" t="s">
        <v>290</v>
      </c>
      <c r="E246" s="208">
        <f t="shared" si="30"/>
        <v>6407.9524499999998</v>
      </c>
      <c r="F246" s="178">
        <f t="shared" si="25"/>
        <v>12815.9049</v>
      </c>
      <c r="G246" s="205">
        <f t="shared" si="29"/>
        <v>4271.9682999999986</v>
      </c>
      <c r="H246" s="178">
        <f t="shared" si="26"/>
        <v>8543.9365999999973</v>
      </c>
      <c r="I246" s="177">
        <f t="shared" si="27"/>
        <v>10679.920749999997</v>
      </c>
      <c r="J246" s="179">
        <f t="shared" si="28"/>
        <v>21359.841499999995</v>
      </c>
      <c r="K246" s="214"/>
      <c r="L246" s="180"/>
      <c r="M246" s="181">
        <v>5960.8860000000004</v>
      </c>
      <c r="N246" s="181">
        <v>3973.9239999999991</v>
      </c>
      <c r="O246" s="182"/>
      <c r="P246" s="215"/>
      <c r="Q246" s="216"/>
      <c r="R246" s="216"/>
      <c r="S246" s="215"/>
      <c r="T246" s="217"/>
      <c r="U246" s="215"/>
    </row>
    <row r="247" spans="1:21" s="191" customFormat="1" ht="15" x14ac:dyDescent="0.4">
      <c r="A247" s="169">
        <f t="shared" si="31"/>
        <v>236</v>
      </c>
      <c r="B247" s="225" t="s">
        <v>644</v>
      </c>
      <c r="C247" s="169"/>
      <c r="D247" s="202"/>
      <c r="E247" s="212"/>
      <c r="F247" s="178">
        <f t="shared" si="25"/>
        <v>0</v>
      </c>
      <c r="G247" s="205"/>
      <c r="H247" s="178">
        <f t="shared" si="26"/>
        <v>0</v>
      </c>
      <c r="I247" s="177"/>
      <c r="J247" s="179"/>
      <c r="K247" s="214"/>
      <c r="L247" s="180"/>
      <c r="M247" s="181"/>
      <c r="N247" s="181"/>
      <c r="O247" s="182"/>
      <c r="P247" s="215"/>
      <c r="Q247" s="216"/>
      <c r="R247" s="216"/>
      <c r="S247" s="215"/>
      <c r="T247" s="217"/>
      <c r="U247" s="215"/>
    </row>
    <row r="248" spans="1:21" s="191" customFormat="1" ht="15" x14ac:dyDescent="0.4">
      <c r="A248" s="169">
        <f t="shared" si="31"/>
        <v>237</v>
      </c>
      <c r="B248" s="223" t="s">
        <v>645</v>
      </c>
      <c r="C248" s="201">
        <v>14</v>
      </c>
      <c r="D248" s="207" t="s">
        <v>300</v>
      </c>
      <c r="E248" s="208">
        <f t="shared" si="30"/>
        <v>129</v>
      </c>
      <c r="F248" s="178">
        <f t="shared" si="25"/>
        <v>1806</v>
      </c>
      <c r="G248" s="205">
        <f t="shared" si="29"/>
        <v>86</v>
      </c>
      <c r="H248" s="178">
        <f t="shared" si="26"/>
        <v>1204</v>
      </c>
      <c r="I248" s="177">
        <f t="shared" si="27"/>
        <v>215</v>
      </c>
      <c r="J248" s="179">
        <f t="shared" si="28"/>
        <v>3010</v>
      </c>
      <c r="K248" s="214"/>
      <c r="L248" s="180"/>
      <c r="M248" s="181">
        <v>120</v>
      </c>
      <c r="N248" s="181">
        <v>80</v>
      </c>
      <c r="O248" s="182"/>
      <c r="P248" s="215"/>
      <c r="Q248" s="216"/>
      <c r="R248" s="216"/>
      <c r="S248" s="215"/>
      <c r="T248" s="217"/>
      <c r="U248" s="215"/>
    </row>
    <row r="249" spans="1:21" s="191" customFormat="1" ht="15" x14ac:dyDescent="0.4">
      <c r="A249" s="169">
        <f t="shared" si="31"/>
        <v>238</v>
      </c>
      <c r="B249" s="227" t="s">
        <v>646</v>
      </c>
      <c r="C249" s="201">
        <v>946</v>
      </c>
      <c r="D249" s="207" t="s">
        <v>300</v>
      </c>
      <c r="E249" s="208">
        <f t="shared" si="30"/>
        <v>23.22</v>
      </c>
      <c r="F249" s="178">
        <f t="shared" si="25"/>
        <v>21966.12</v>
      </c>
      <c r="G249" s="205">
        <f t="shared" si="29"/>
        <v>62.779999999999994</v>
      </c>
      <c r="H249" s="178">
        <f t="shared" si="26"/>
        <v>59389.88</v>
      </c>
      <c r="I249" s="177">
        <f t="shared" si="27"/>
        <v>86</v>
      </c>
      <c r="J249" s="179">
        <f t="shared" si="28"/>
        <v>81356</v>
      </c>
      <c r="K249" s="214"/>
      <c r="L249" s="180"/>
      <c r="M249" s="181">
        <v>21.6</v>
      </c>
      <c r="N249" s="181">
        <v>58.4</v>
      </c>
      <c r="O249" s="182"/>
      <c r="P249" s="215"/>
      <c r="Q249" s="216"/>
      <c r="R249" s="216"/>
      <c r="S249" s="215"/>
      <c r="T249" s="217"/>
      <c r="U249" s="215"/>
    </row>
    <row r="250" spans="1:21" s="191" customFormat="1" ht="15" x14ac:dyDescent="0.4">
      <c r="A250" s="169">
        <f t="shared" si="31"/>
        <v>239</v>
      </c>
      <c r="B250" s="224" t="s">
        <v>647</v>
      </c>
      <c r="C250" s="201">
        <v>1</v>
      </c>
      <c r="D250" s="207" t="s">
        <v>290</v>
      </c>
      <c r="E250" s="208">
        <f t="shared" si="30"/>
        <v>1076.4211499999999</v>
      </c>
      <c r="F250" s="178">
        <f t="shared" si="25"/>
        <v>1076.4211499999999</v>
      </c>
      <c r="G250" s="205">
        <f t="shared" si="29"/>
        <v>717.61409999999989</v>
      </c>
      <c r="H250" s="178">
        <f t="shared" si="26"/>
        <v>717.61409999999989</v>
      </c>
      <c r="I250" s="177">
        <f t="shared" si="27"/>
        <v>1794.0352499999999</v>
      </c>
      <c r="J250" s="179">
        <f t="shared" si="28"/>
        <v>1794.0352499999999</v>
      </c>
      <c r="K250" s="214"/>
      <c r="L250" s="180"/>
      <c r="M250" s="181">
        <v>1001.322</v>
      </c>
      <c r="N250" s="181">
        <v>667.54799999999989</v>
      </c>
      <c r="O250" s="182"/>
      <c r="P250" s="215"/>
      <c r="Q250" s="216"/>
      <c r="R250" s="216"/>
      <c r="S250" s="215"/>
      <c r="T250" s="217"/>
      <c r="U250" s="215"/>
    </row>
    <row r="251" spans="1:21" s="191" customFormat="1" ht="15" x14ac:dyDescent="0.4">
      <c r="A251" s="169">
        <f t="shared" si="31"/>
        <v>240</v>
      </c>
      <c r="B251" s="225" t="s">
        <v>648</v>
      </c>
      <c r="C251" s="169"/>
      <c r="D251" s="202"/>
      <c r="E251" s="212"/>
      <c r="F251" s="178">
        <f t="shared" si="25"/>
        <v>0</v>
      </c>
      <c r="G251" s="205"/>
      <c r="H251" s="178">
        <f t="shared" si="26"/>
        <v>0</v>
      </c>
      <c r="I251" s="177"/>
      <c r="J251" s="179"/>
      <c r="K251" s="214"/>
      <c r="L251" s="180"/>
      <c r="M251" s="181"/>
      <c r="N251" s="181">
        <v>0</v>
      </c>
      <c r="O251" s="182"/>
      <c r="P251" s="215"/>
      <c r="Q251" s="216"/>
      <c r="R251" s="216"/>
      <c r="S251" s="215"/>
      <c r="T251" s="217"/>
      <c r="U251" s="215"/>
    </row>
    <row r="252" spans="1:21" s="191" customFormat="1" ht="15" x14ac:dyDescent="0.4">
      <c r="A252" s="169">
        <f t="shared" si="31"/>
        <v>241</v>
      </c>
      <c r="B252" s="223" t="s">
        <v>649</v>
      </c>
      <c r="C252" s="201">
        <v>3</v>
      </c>
      <c r="D252" s="207" t="s">
        <v>650</v>
      </c>
      <c r="E252" s="208">
        <f t="shared" si="30"/>
        <v>3160.5</v>
      </c>
      <c r="F252" s="178">
        <f t="shared" ref="F252:F262" si="32">C252*E252</f>
        <v>9481.5</v>
      </c>
      <c r="G252" s="205">
        <f t="shared" si="29"/>
        <v>2107</v>
      </c>
      <c r="H252" s="178">
        <f t="shared" ref="H252:H262" si="33">C252*G252</f>
        <v>6321</v>
      </c>
      <c r="I252" s="177">
        <f t="shared" ref="I252" si="34">E252+G252</f>
        <v>5267.5</v>
      </c>
      <c r="J252" s="179">
        <f t="shared" ref="J252" si="35">I252*C252</f>
        <v>15802.5</v>
      </c>
      <c r="K252" s="214"/>
      <c r="L252" s="180"/>
      <c r="M252" s="181">
        <v>2940</v>
      </c>
      <c r="N252" s="181">
        <v>1960</v>
      </c>
      <c r="O252" s="182"/>
      <c r="P252" s="215"/>
      <c r="Q252" s="216"/>
      <c r="R252" s="216"/>
      <c r="S252" s="215"/>
      <c r="T252" s="217"/>
      <c r="U252" s="215"/>
    </row>
    <row r="253" spans="1:21" s="191" customFormat="1" ht="15" x14ac:dyDescent="0.4">
      <c r="A253" s="169">
        <f t="shared" si="31"/>
        <v>242</v>
      </c>
      <c r="B253" s="221" t="s">
        <v>651</v>
      </c>
      <c r="C253" s="169"/>
      <c r="D253" s="202"/>
      <c r="E253" s="212"/>
      <c r="F253" s="178">
        <f t="shared" si="32"/>
        <v>0</v>
      </c>
      <c r="G253" s="205"/>
      <c r="H253" s="178">
        <f t="shared" si="33"/>
        <v>0</v>
      </c>
      <c r="I253" s="177"/>
      <c r="J253" s="179"/>
      <c r="K253" s="214"/>
      <c r="L253" s="180"/>
      <c r="M253" s="181"/>
      <c r="N253" s="181">
        <v>0</v>
      </c>
      <c r="O253" s="182"/>
      <c r="P253" s="215"/>
      <c r="Q253" s="216"/>
      <c r="R253" s="216"/>
      <c r="S253" s="215"/>
      <c r="T253" s="217"/>
      <c r="U253" s="215"/>
    </row>
    <row r="254" spans="1:21" s="191" customFormat="1" ht="27" x14ac:dyDescent="0.4">
      <c r="A254" s="169">
        <f t="shared" si="31"/>
        <v>243</v>
      </c>
      <c r="B254" s="228" t="s">
        <v>652</v>
      </c>
      <c r="C254" s="229">
        <v>291</v>
      </c>
      <c r="D254" s="230" t="s">
        <v>300</v>
      </c>
      <c r="E254" s="231">
        <f t="shared" si="30"/>
        <v>16.125</v>
      </c>
      <c r="F254" s="178">
        <f t="shared" si="32"/>
        <v>4692.375</v>
      </c>
      <c r="G254" s="232">
        <f t="shared" si="29"/>
        <v>10.75</v>
      </c>
      <c r="H254" s="178">
        <f t="shared" si="33"/>
        <v>3128.25</v>
      </c>
      <c r="I254" s="177">
        <f t="shared" ref="I254:I262" si="36">E254+G254</f>
        <v>26.875</v>
      </c>
      <c r="J254" s="179">
        <f t="shared" ref="J254:J262" si="37">I254*C254</f>
        <v>7820.625</v>
      </c>
      <c r="K254" s="214"/>
      <c r="L254" s="180"/>
      <c r="M254" s="181">
        <v>15</v>
      </c>
      <c r="N254" s="181">
        <v>10</v>
      </c>
      <c r="O254" s="182"/>
      <c r="P254" s="215"/>
      <c r="Q254" s="216"/>
      <c r="R254" s="216"/>
      <c r="S254" s="215"/>
      <c r="T254" s="217"/>
      <c r="U254" s="215"/>
    </row>
    <row r="255" spans="1:21" s="191" customFormat="1" ht="15" x14ac:dyDescent="0.4">
      <c r="A255" s="169">
        <f t="shared" si="31"/>
        <v>244</v>
      </c>
      <c r="B255" s="228"/>
      <c r="C255" s="229"/>
      <c r="D255" s="230"/>
      <c r="E255" s="231"/>
      <c r="F255" s="178">
        <f t="shared" si="32"/>
        <v>0</v>
      </c>
      <c r="G255" s="232"/>
      <c r="H255" s="178">
        <f t="shared" si="33"/>
        <v>0</v>
      </c>
      <c r="I255" s="177"/>
      <c r="J255" s="179"/>
      <c r="K255" s="214"/>
      <c r="L255" s="180"/>
      <c r="M255" s="181"/>
      <c r="N255" s="181"/>
      <c r="O255" s="182"/>
      <c r="P255" s="215"/>
      <c r="Q255" s="216"/>
      <c r="R255" s="216"/>
      <c r="S255" s="215"/>
      <c r="T255" s="217"/>
      <c r="U255" s="215"/>
    </row>
    <row r="256" spans="1:21" s="191" customFormat="1" ht="15" x14ac:dyDescent="0.4">
      <c r="A256" s="169">
        <f t="shared" si="31"/>
        <v>245</v>
      </c>
      <c r="B256" s="233" t="s">
        <v>653</v>
      </c>
      <c r="C256" s="229"/>
      <c r="D256" s="230"/>
      <c r="E256" s="231"/>
      <c r="F256" s="178">
        <f t="shared" si="32"/>
        <v>0</v>
      </c>
      <c r="G256" s="232"/>
      <c r="H256" s="178">
        <f t="shared" si="33"/>
        <v>0</v>
      </c>
      <c r="I256" s="177"/>
      <c r="J256" s="179"/>
      <c r="K256" s="214"/>
      <c r="L256" s="180"/>
      <c r="M256" s="181"/>
      <c r="N256" s="181"/>
      <c r="O256" s="182"/>
      <c r="P256" s="215"/>
      <c r="Q256" s="216"/>
      <c r="R256" s="216"/>
      <c r="S256" s="215"/>
      <c r="T256" s="217"/>
      <c r="U256" s="215"/>
    </row>
    <row r="257" spans="1:21" s="182" customFormat="1" ht="27" x14ac:dyDescent="0.4">
      <c r="A257" s="169">
        <f t="shared" si="31"/>
        <v>246</v>
      </c>
      <c r="B257" s="209" t="s">
        <v>654</v>
      </c>
      <c r="C257" s="201">
        <v>2</v>
      </c>
      <c r="D257" s="207" t="s">
        <v>290</v>
      </c>
      <c r="E257" s="206">
        <f t="shared" si="30"/>
        <v>5318.0249999999996</v>
      </c>
      <c r="F257" s="178">
        <f t="shared" si="32"/>
        <v>10636.05</v>
      </c>
      <c r="G257" s="205">
        <f t="shared" si="29"/>
        <v>3545.35</v>
      </c>
      <c r="H257" s="178">
        <f t="shared" si="33"/>
        <v>7090.7</v>
      </c>
      <c r="I257" s="177">
        <f t="shared" si="36"/>
        <v>8863.375</v>
      </c>
      <c r="J257" s="179">
        <f t="shared" si="37"/>
        <v>17726.75</v>
      </c>
      <c r="K257" s="180"/>
      <c r="L257" s="180"/>
      <c r="M257" s="181">
        <v>4947</v>
      </c>
      <c r="N257" s="181">
        <v>3298</v>
      </c>
      <c r="P257" s="180"/>
    </row>
    <row r="258" spans="1:21" s="182" customFormat="1" ht="27" x14ac:dyDescent="0.4">
      <c r="A258" s="169">
        <f t="shared" si="31"/>
        <v>247</v>
      </c>
      <c r="B258" s="220" t="s">
        <v>655</v>
      </c>
      <c r="C258" s="201">
        <v>1</v>
      </c>
      <c r="D258" s="207" t="s">
        <v>290</v>
      </c>
      <c r="E258" s="206">
        <f t="shared" si="30"/>
        <v>2580</v>
      </c>
      <c r="F258" s="178">
        <f t="shared" si="32"/>
        <v>2580</v>
      </c>
      <c r="G258" s="205">
        <f t="shared" si="29"/>
        <v>1720</v>
      </c>
      <c r="H258" s="178">
        <f t="shared" si="33"/>
        <v>1720</v>
      </c>
      <c r="I258" s="177">
        <f t="shared" si="36"/>
        <v>4300</v>
      </c>
      <c r="J258" s="179">
        <f t="shared" si="37"/>
        <v>4300</v>
      </c>
      <c r="K258" s="180"/>
      <c r="L258" s="180"/>
      <c r="M258" s="181">
        <v>2400</v>
      </c>
      <c r="N258" s="181">
        <v>1600</v>
      </c>
      <c r="P258" s="180"/>
    </row>
    <row r="259" spans="1:21" s="191" customFormat="1" ht="27" x14ac:dyDescent="0.4">
      <c r="A259" s="169">
        <f t="shared" si="31"/>
        <v>248</v>
      </c>
      <c r="B259" s="220" t="s">
        <v>656</v>
      </c>
      <c r="C259" s="201">
        <v>162</v>
      </c>
      <c r="D259" s="207" t="s">
        <v>300</v>
      </c>
      <c r="E259" s="206">
        <f t="shared" si="30"/>
        <v>36.119999999999997</v>
      </c>
      <c r="F259" s="178">
        <f t="shared" si="32"/>
        <v>5851.44</v>
      </c>
      <c r="G259" s="205">
        <f t="shared" si="29"/>
        <v>49.879999999999995</v>
      </c>
      <c r="H259" s="178">
        <f t="shared" si="33"/>
        <v>8080.5599999999995</v>
      </c>
      <c r="I259" s="177">
        <f t="shared" si="36"/>
        <v>86</v>
      </c>
      <c r="J259" s="179">
        <f t="shared" si="37"/>
        <v>13932</v>
      </c>
      <c r="K259" s="214"/>
      <c r="L259" s="180"/>
      <c r="M259" s="181">
        <v>33.6</v>
      </c>
      <c r="N259" s="181">
        <v>46.4</v>
      </c>
      <c r="O259" s="182"/>
      <c r="P259" s="215"/>
      <c r="Q259" s="216"/>
      <c r="R259" s="216"/>
      <c r="S259" s="215"/>
      <c r="T259" s="217"/>
      <c r="U259" s="215"/>
    </row>
    <row r="260" spans="1:21" s="191" customFormat="1" ht="15" x14ac:dyDescent="0.4">
      <c r="A260" s="169">
        <f t="shared" si="31"/>
        <v>249</v>
      </c>
      <c r="B260" s="220" t="s">
        <v>657</v>
      </c>
      <c r="C260" s="201">
        <v>225</v>
      </c>
      <c r="D260" s="207" t="s">
        <v>292</v>
      </c>
      <c r="E260" s="206"/>
      <c r="F260" s="178">
        <f t="shared" si="32"/>
        <v>0</v>
      </c>
      <c r="G260" s="205">
        <f t="shared" si="29"/>
        <v>37.625</v>
      </c>
      <c r="H260" s="178">
        <f t="shared" si="33"/>
        <v>8465.625</v>
      </c>
      <c r="I260" s="177">
        <f t="shared" si="36"/>
        <v>37.625</v>
      </c>
      <c r="J260" s="179">
        <f t="shared" si="37"/>
        <v>8465.625</v>
      </c>
      <c r="K260" s="214"/>
      <c r="L260" s="180"/>
      <c r="M260" s="181">
        <v>0</v>
      </c>
      <c r="N260" s="181">
        <v>35</v>
      </c>
      <c r="O260" s="182"/>
      <c r="P260" s="215"/>
      <c r="Q260" s="216"/>
      <c r="R260" s="216"/>
      <c r="S260" s="215"/>
      <c r="T260" s="217"/>
      <c r="U260" s="215"/>
    </row>
    <row r="261" spans="1:21" s="191" customFormat="1" ht="27" x14ac:dyDescent="0.4">
      <c r="A261" s="169">
        <f t="shared" si="31"/>
        <v>250</v>
      </c>
      <c r="B261" s="234" t="s">
        <v>658</v>
      </c>
      <c r="C261" s="201">
        <v>350</v>
      </c>
      <c r="D261" s="207" t="s">
        <v>89</v>
      </c>
      <c r="E261" s="206">
        <f t="shared" si="30"/>
        <v>8.6</v>
      </c>
      <c r="F261" s="178">
        <f t="shared" si="32"/>
        <v>3010</v>
      </c>
      <c r="G261" s="205">
        <f t="shared" si="29"/>
        <v>12.899999999999999</v>
      </c>
      <c r="H261" s="178">
        <f t="shared" si="33"/>
        <v>4514.9999999999991</v>
      </c>
      <c r="I261" s="177">
        <f t="shared" si="36"/>
        <v>21.5</v>
      </c>
      <c r="J261" s="179">
        <f t="shared" si="37"/>
        <v>7525</v>
      </c>
      <c r="K261" s="214"/>
      <c r="L261" s="180"/>
      <c r="M261" s="181">
        <v>8</v>
      </c>
      <c r="N261" s="181">
        <v>12</v>
      </c>
      <c r="O261" s="182"/>
      <c r="P261" s="215"/>
      <c r="Q261" s="216"/>
      <c r="R261" s="216"/>
      <c r="S261" s="215"/>
      <c r="T261" s="217"/>
      <c r="U261" s="215"/>
    </row>
    <row r="262" spans="1:21" s="191" customFormat="1" ht="15" x14ac:dyDescent="0.4">
      <c r="A262" s="169">
        <f t="shared" si="31"/>
        <v>251</v>
      </c>
      <c r="B262" s="234" t="s">
        <v>659</v>
      </c>
      <c r="C262" s="229">
        <v>1290</v>
      </c>
      <c r="D262" s="207" t="s">
        <v>89</v>
      </c>
      <c r="E262" s="206">
        <f t="shared" si="30"/>
        <v>2.15</v>
      </c>
      <c r="F262" s="178">
        <f t="shared" si="32"/>
        <v>2773.5</v>
      </c>
      <c r="G262" s="205">
        <f t="shared" si="29"/>
        <v>3.2249999999999996</v>
      </c>
      <c r="H262" s="178">
        <f t="shared" si="33"/>
        <v>4160.2499999999991</v>
      </c>
      <c r="I262" s="177">
        <f t="shared" si="36"/>
        <v>5.375</v>
      </c>
      <c r="J262" s="179">
        <f t="shared" si="37"/>
        <v>6933.75</v>
      </c>
      <c r="K262" s="214"/>
      <c r="L262" s="180"/>
      <c r="M262" s="181">
        <v>2</v>
      </c>
      <c r="N262" s="181">
        <v>3</v>
      </c>
      <c r="O262" s="182"/>
      <c r="P262" s="215"/>
      <c r="Q262" s="216"/>
      <c r="R262" s="216"/>
      <c r="S262" s="215"/>
      <c r="T262" s="217"/>
      <c r="U262" s="215"/>
    </row>
    <row r="263" spans="1:21" x14ac:dyDescent="0.35">
      <c r="A263" s="169">
        <f t="shared" si="31"/>
        <v>252</v>
      </c>
      <c r="B263" s="9"/>
      <c r="C263" s="11"/>
      <c r="D263" s="10"/>
      <c r="E263" s="17"/>
      <c r="F263" s="20" t="s">
        <v>6</v>
      </c>
      <c r="G263" s="17">
        <f t="shared" si="29"/>
        <v>0</v>
      </c>
      <c r="H263" s="20" t="s">
        <v>6</v>
      </c>
      <c r="I263" s="73"/>
      <c r="J263" s="20" t="s">
        <v>6</v>
      </c>
      <c r="M263" s="181">
        <v>0</v>
      </c>
      <c r="N263" s="181">
        <v>0</v>
      </c>
    </row>
    <row r="264" spans="1:21" x14ac:dyDescent="0.35">
      <c r="A264" s="169">
        <f t="shared" si="31"/>
        <v>253</v>
      </c>
      <c r="B264" s="13" t="str">
        <f>"Subtotal " &amp; B185</f>
        <v>Subtotal 02-00-06 Utilities-Plumbing</v>
      </c>
      <c r="C264" s="11"/>
      <c r="D264" s="10"/>
      <c r="E264" s="17"/>
      <c r="F264" s="15">
        <f>SUM(F185:F263)</f>
        <v>642827.72600000002</v>
      </c>
      <c r="G264" s="17">
        <f t="shared" si="29"/>
        <v>0</v>
      </c>
      <c r="H264" s="15">
        <f>SUM(H185:H263)</f>
        <v>595424.70874999987</v>
      </c>
      <c r="I264" s="73"/>
      <c r="J264" s="15">
        <f>SUM(J185:J263)</f>
        <v>1238252.43475</v>
      </c>
      <c r="M264" s="181">
        <v>0</v>
      </c>
      <c r="N264" s="181">
        <v>0</v>
      </c>
    </row>
    <row r="265" spans="1:21" x14ac:dyDescent="0.35">
      <c r="A265" s="169">
        <f t="shared" si="31"/>
        <v>254</v>
      </c>
      <c r="B265" s="13"/>
      <c r="C265" s="11"/>
      <c r="D265" s="10"/>
      <c r="E265" s="17"/>
      <c r="F265" s="15"/>
      <c r="G265" s="17">
        <f t="shared" si="29"/>
        <v>0</v>
      </c>
      <c r="H265" s="15"/>
      <c r="I265" s="73"/>
      <c r="J265" s="15"/>
      <c r="M265" s="181">
        <v>0</v>
      </c>
      <c r="N265" s="181">
        <v>0</v>
      </c>
    </row>
    <row r="266" spans="1:21" x14ac:dyDescent="0.35">
      <c r="A266" s="169">
        <f t="shared" si="31"/>
        <v>255</v>
      </c>
      <c r="B266" s="62" t="s">
        <v>660</v>
      </c>
      <c r="C266" s="65"/>
      <c r="D266" s="63"/>
      <c r="E266" s="64"/>
      <c r="F266" s="64"/>
      <c r="G266" s="64">
        <f t="shared" ref="G266:G329" si="38">N266*$N$8</f>
        <v>0</v>
      </c>
      <c r="H266" s="64"/>
      <c r="I266" s="74"/>
      <c r="J266" s="42"/>
      <c r="M266" s="181">
        <v>0</v>
      </c>
      <c r="N266" s="181">
        <v>0</v>
      </c>
    </row>
    <row r="267" spans="1:21" x14ac:dyDescent="0.35">
      <c r="A267" s="169">
        <f t="shared" si="31"/>
        <v>256</v>
      </c>
      <c r="B267" s="9"/>
      <c r="C267" s="11"/>
      <c r="D267" s="10"/>
      <c r="E267" s="17"/>
      <c r="F267" s="17"/>
      <c r="G267" s="17">
        <f t="shared" si="38"/>
        <v>0</v>
      </c>
      <c r="H267" s="17"/>
      <c r="I267" s="73"/>
      <c r="J267" s="18"/>
      <c r="M267" s="181">
        <v>0</v>
      </c>
      <c r="N267" s="181">
        <v>0</v>
      </c>
    </row>
    <row r="268" spans="1:21" x14ac:dyDescent="0.35">
      <c r="A268" s="169">
        <f t="shared" si="31"/>
        <v>257</v>
      </c>
      <c r="B268" s="9"/>
      <c r="C268" s="11"/>
      <c r="D268" s="10"/>
      <c r="E268" s="17"/>
      <c r="F268" s="20" t="s">
        <v>6</v>
      </c>
      <c r="G268" s="17">
        <f t="shared" si="38"/>
        <v>0</v>
      </c>
      <c r="H268" s="20" t="s">
        <v>6</v>
      </c>
      <c r="I268" s="73"/>
      <c r="J268" s="20" t="s">
        <v>6</v>
      </c>
      <c r="M268" s="181">
        <v>0</v>
      </c>
      <c r="N268" s="181">
        <v>0</v>
      </c>
    </row>
    <row r="269" spans="1:21" x14ac:dyDescent="0.35">
      <c r="A269" s="169">
        <f t="shared" si="31"/>
        <v>258</v>
      </c>
      <c r="B269" s="13" t="str">
        <f>"Subtotal " &amp; B266</f>
        <v>Subtotal 02-00-07 Utilities- Heating/Cooling</v>
      </c>
      <c r="C269" s="11"/>
      <c r="D269" s="10"/>
      <c r="E269" s="17"/>
      <c r="F269" s="15">
        <f>SUM(F266:F268)</f>
        <v>0</v>
      </c>
      <c r="G269" s="17">
        <f t="shared" si="38"/>
        <v>0</v>
      </c>
      <c r="H269" s="15">
        <f>SUM(H266:H268)</f>
        <v>0</v>
      </c>
      <c r="I269" s="73"/>
      <c r="J269" s="15">
        <f>SUM(J266:J268)</f>
        <v>0</v>
      </c>
      <c r="M269" s="181">
        <v>0</v>
      </c>
      <c r="N269" s="181">
        <v>0</v>
      </c>
    </row>
    <row r="270" spans="1:21" x14ac:dyDescent="0.35">
      <c r="A270" s="169">
        <f t="shared" si="31"/>
        <v>259</v>
      </c>
      <c r="B270" s="13"/>
      <c r="C270" s="11"/>
      <c r="D270" s="10"/>
      <c r="E270" s="17"/>
      <c r="F270" s="15"/>
      <c r="G270" s="17">
        <f t="shared" si="38"/>
        <v>0</v>
      </c>
      <c r="H270" s="15"/>
      <c r="I270" s="73"/>
      <c r="J270" s="15"/>
      <c r="M270" s="181">
        <v>0</v>
      </c>
      <c r="N270" s="181">
        <v>0</v>
      </c>
    </row>
    <row r="271" spans="1:21" x14ac:dyDescent="0.35">
      <c r="A271" s="169">
        <f t="shared" si="31"/>
        <v>260</v>
      </c>
      <c r="B271" s="62" t="s">
        <v>661</v>
      </c>
      <c r="C271" s="65"/>
      <c r="D271" s="63"/>
      <c r="E271" s="64"/>
      <c r="F271" s="64"/>
      <c r="G271" s="64">
        <f t="shared" si="38"/>
        <v>0</v>
      </c>
      <c r="H271" s="64"/>
      <c r="I271" s="74"/>
      <c r="J271" s="42"/>
      <c r="M271" s="181">
        <v>0</v>
      </c>
      <c r="N271" s="181">
        <v>0</v>
      </c>
    </row>
    <row r="272" spans="1:21" x14ac:dyDescent="0.35">
      <c r="A272" s="169">
        <f t="shared" si="31"/>
        <v>261</v>
      </c>
      <c r="B272" s="9"/>
      <c r="C272" s="11"/>
      <c r="D272" s="10"/>
      <c r="E272" s="17"/>
      <c r="F272" s="17"/>
      <c r="G272" s="17">
        <f t="shared" si="38"/>
        <v>0</v>
      </c>
      <c r="H272" s="17"/>
      <c r="I272" s="73"/>
      <c r="J272" s="18"/>
      <c r="M272" s="181">
        <v>0</v>
      </c>
      <c r="N272" s="181">
        <v>0</v>
      </c>
    </row>
    <row r="273" spans="1:14" s="182" customFormat="1" ht="15" x14ac:dyDescent="0.4">
      <c r="A273" s="169">
        <f t="shared" si="31"/>
        <v>262</v>
      </c>
      <c r="B273" s="192" t="s">
        <v>662</v>
      </c>
      <c r="C273" s="235"/>
      <c r="D273" s="131"/>
      <c r="E273" s="189"/>
      <c r="F273" s="189"/>
      <c r="G273" s="189"/>
      <c r="H273" s="189"/>
      <c r="I273" s="236"/>
      <c r="J273" s="236"/>
      <c r="L273" s="180"/>
      <c r="M273" s="181"/>
      <c r="N273" s="181"/>
    </row>
    <row r="274" spans="1:14" s="182" customFormat="1" ht="15" x14ac:dyDescent="0.4">
      <c r="A274" s="169">
        <f t="shared" si="31"/>
        <v>263</v>
      </c>
      <c r="B274" s="192" t="s">
        <v>663</v>
      </c>
      <c r="C274" s="235">
        <v>160</v>
      </c>
      <c r="D274" s="131" t="s">
        <v>300</v>
      </c>
      <c r="E274" s="237"/>
      <c r="F274" s="178">
        <f t="shared" ref="F274:F337" si="39">C274*E274</f>
        <v>0</v>
      </c>
      <c r="G274" s="237">
        <f t="shared" si="38"/>
        <v>37.248750000000001</v>
      </c>
      <c r="H274" s="178">
        <f t="shared" ref="H274:H337" si="40">C274*G274</f>
        <v>5959.8</v>
      </c>
      <c r="I274" s="177">
        <f t="shared" ref="I274:I337" si="41">E274+G274</f>
        <v>37.248750000000001</v>
      </c>
      <c r="J274" s="179">
        <f t="shared" ref="J274:J337" si="42">I274*C274</f>
        <v>5959.8</v>
      </c>
      <c r="L274" s="180"/>
      <c r="M274" s="181">
        <v>0</v>
      </c>
      <c r="N274" s="181">
        <v>34.650000000000006</v>
      </c>
    </row>
    <row r="275" spans="1:14" s="182" customFormat="1" ht="15" x14ac:dyDescent="0.4">
      <c r="A275" s="169">
        <f t="shared" si="31"/>
        <v>264</v>
      </c>
      <c r="B275" s="152" t="s">
        <v>664</v>
      </c>
      <c r="C275" s="235">
        <v>1</v>
      </c>
      <c r="D275" s="131" t="s">
        <v>290</v>
      </c>
      <c r="E275" s="237"/>
      <c r="F275" s="178">
        <f t="shared" si="39"/>
        <v>0</v>
      </c>
      <c r="G275" s="237">
        <f t="shared" si="38"/>
        <v>446.98500000000001</v>
      </c>
      <c r="H275" s="178">
        <f t="shared" si="40"/>
        <v>446.98500000000001</v>
      </c>
      <c r="I275" s="177">
        <f t="shared" si="41"/>
        <v>446.98500000000001</v>
      </c>
      <c r="J275" s="179">
        <f t="shared" si="42"/>
        <v>446.98500000000001</v>
      </c>
      <c r="L275" s="180"/>
      <c r="M275" s="181">
        <v>0</v>
      </c>
      <c r="N275" s="181">
        <v>415.8</v>
      </c>
    </row>
    <row r="276" spans="1:14" s="182" customFormat="1" ht="15" x14ac:dyDescent="0.4">
      <c r="A276" s="169">
        <f t="shared" si="31"/>
        <v>265</v>
      </c>
      <c r="B276" s="152" t="s">
        <v>665</v>
      </c>
      <c r="C276" s="235">
        <v>605</v>
      </c>
      <c r="D276" s="131" t="s">
        <v>300</v>
      </c>
      <c r="E276" s="237"/>
      <c r="F276" s="178">
        <f t="shared" si="39"/>
        <v>0</v>
      </c>
      <c r="G276" s="237">
        <f t="shared" si="38"/>
        <v>29.799000000000003</v>
      </c>
      <c r="H276" s="178">
        <f t="shared" si="40"/>
        <v>18028.395</v>
      </c>
      <c r="I276" s="177">
        <f t="shared" si="41"/>
        <v>29.799000000000003</v>
      </c>
      <c r="J276" s="179">
        <f t="shared" si="42"/>
        <v>18028.395</v>
      </c>
      <c r="L276" s="180"/>
      <c r="M276" s="181">
        <v>0</v>
      </c>
      <c r="N276" s="181">
        <v>27.720000000000002</v>
      </c>
    </row>
    <row r="277" spans="1:14" s="182" customFormat="1" ht="15" x14ac:dyDescent="0.4">
      <c r="A277" s="169">
        <f t="shared" si="31"/>
        <v>266</v>
      </c>
      <c r="B277" s="152" t="s">
        <v>666</v>
      </c>
      <c r="C277" s="235">
        <v>86</v>
      </c>
      <c r="D277" s="131" t="s">
        <v>300</v>
      </c>
      <c r="E277" s="237"/>
      <c r="F277" s="178">
        <f t="shared" si="39"/>
        <v>0</v>
      </c>
      <c r="G277" s="237">
        <f t="shared" si="38"/>
        <v>29.799000000000003</v>
      </c>
      <c r="H277" s="178">
        <f t="shared" si="40"/>
        <v>2562.7140000000004</v>
      </c>
      <c r="I277" s="177">
        <f t="shared" si="41"/>
        <v>29.799000000000003</v>
      </c>
      <c r="J277" s="179">
        <f t="shared" si="42"/>
        <v>2562.7140000000004</v>
      </c>
      <c r="L277" s="180"/>
      <c r="M277" s="181">
        <v>0</v>
      </c>
      <c r="N277" s="181">
        <v>27.720000000000002</v>
      </c>
    </row>
    <row r="278" spans="1:14" s="182" customFormat="1" ht="15" x14ac:dyDescent="0.4">
      <c r="A278" s="169">
        <f t="shared" si="31"/>
        <v>267</v>
      </c>
      <c r="B278" s="152" t="s">
        <v>667</v>
      </c>
      <c r="C278" s="235">
        <v>2</v>
      </c>
      <c r="D278" s="131" t="s">
        <v>290</v>
      </c>
      <c r="E278" s="237"/>
      <c r="F278" s="178">
        <f t="shared" si="39"/>
        <v>0</v>
      </c>
      <c r="G278" s="237">
        <f t="shared" si="38"/>
        <v>297.99</v>
      </c>
      <c r="H278" s="178">
        <f t="shared" si="40"/>
        <v>595.98</v>
      </c>
      <c r="I278" s="177">
        <f t="shared" si="41"/>
        <v>297.99</v>
      </c>
      <c r="J278" s="179">
        <f t="shared" si="42"/>
        <v>595.98</v>
      </c>
      <c r="L278" s="180"/>
      <c r="M278" s="181">
        <v>0</v>
      </c>
      <c r="N278" s="181">
        <v>277.20000000000005</v>
      </c>
    </row>
    <row r="279" spans="1:14" s="182" customFormat="1" ht="15" x14ac:dyDescent="0.4">
      <c r="A279" s="169">
        <f t="shared" si="31"/>
        <v>268</v>
      </c>
      <c r="B279" s="152" t="s">
        <v>668</v>
      </c>
      <c r="C279" s="235">
        <v>210</v>
      </c>
      <c r="D279" s="131" t="s">
        <v>300</v>
      </c>
      <c r="E279" s="237"/>
      <c r="F279" s="178">
        <f t="shared" si="39"/>
        <v>0</v>
      </c>
      <c r="G279" s="237">
        <f t="shared" si="38"/>
        <v>14.899500000000002</v>
      </c>
      <c r="H279" s="178">
        <f t="shared" si="40"/>
        <v>3128.8950000000004</v>
      </c>
      <c r="I279" s="177">
        <f t="shared" si="41"/>
        <v>14.899500000000002</v>
      </c>
      <c r="J279" s="179">
        <f t="shared" si="42"/>
        <v>3128.8950000000004</v>
      </c>
      <c r="L279" s="180"/>
      <c r="M279" s="181">
        <v>0</v>
      </c>
      <c r="N279" s="181">
        <v>13.860000000000001</v>
      </c>
    </row>
    <row r="280" spans="1:14" s="182" customFormat="1" ht="15" x14ac:dyDescent="0.4">
      <c r="A280" s="169">
        <f t="shared" si="31"/>
        <v>269</v>
      </c>
      <c r="B280" s="152"/>
      <c r="C280" s="235"/>
      <c r="D280" s="131"/>
      <c r="E280" s="237"/>
      <c r="F280" s="178">
        <f t="shared" si="39"/>
        <v>0</v>
      </c>
      <c r="G280" s="237"/>
      <c r="H280" s="178">
        <f t="shared" si="40"/>
        <v>0</v>
      </c>
      <c r="I280" s="177"/>
      <c r="J280" s="179"/>
      <c r="L280" s="180"/>
      <c r="M280" s="181"/>
      <c r="N280" s="181"/>
    </row>
    <row r="281" spans="1:14" s="182" customFormat="1" ht="15" x14ac:dyDescent="0.4">
      <c r="A281" s="169">
        <f t="shared" si="31"/>
        <v>270</v>
      </c>
      <c r="B281" s="192" t="s">
        <v>669</v>
      </c>
      <c r="C281" s="235"/>
      <c r="D281" s="131"/>
      <c r="E281" s="237"/>
      <c r="F281" s="178">
        <f t="shared" si="39"/>
        <v>0</v>
      </c>
      <c r="G281" s="237"/>
      <c r="H281" s="178">
        <f t="shared" si="40"/>
        <v>0</v>
      </c>
      <c r="I281" s="177"/>
      <c r="J281" s="179"/>
      <c r="L281" s="180"/>
      <c r="M281" s="181"/>
      <c r="N281" s="181"/>
    </row>
    <row r="282" spans="1:14" s="182" customFormat="1" ht="15" x14ac:dyDescent="0.4">
      <c r="A282" s="169">
        <f t="shared" si="31"/>
        <v>271</v>
      </c>
      <c r="B282" s="192" t="s">
        <v>670</v>
      </c>
      <c r="C282" s="235"/>
      <c r="D282" s="131"/>
      <c r="E282" s="237"/>
      <c r="F282" s="178">
        <f t="shared" si="39"/>
        <v>0</v>
      </c>
      <c r="G282" s="237"/>
      <c r="H282" s="178">
        <f t="shared" si="40"/>
        <v>0</v>
      </c>
      <c r="I282" s="177"/>
      <c r="J282" s="179"/>
      <c r="L282" s="180"/>
      <c r="M282" s="181"/>
      <c r="N282" s="181"/>
    </row>
    <row r="283" spans="1:14" s="182" customFormat="1" ht="15" x14ac:dyDescent="0.4">
      <c r="A283" s="169">
        <f t="shared" si="31"/>
        <v>272</v>
      </c>
      <c r="B283" s="238" t="s">
        <v>671</v>
      </c>
      <c r="C283" s="235">
        <v>1</v>
      </c>
      <c r="D283" s="131" t="s">
        <v>290</v>
      </c>
      <c r="E283" s="237">
        <f t="shared" ref="E283:E346" si="43">M283*$M$8</f>
        <v>45150</v>
      </c>
      <c r="F283" s="178">
        <f t="shared" si="39"/>
        <v>45150</v>
      </c>
      <c r="G283" s="237">
        <f t="shared" si="38"/>
        <v>11919.6</v>
      </c>
      <c r="H283" s="178">
        <f t="shared" si="40"/>
        <v>11919.6</v>
      </c>
      <c r="I283" s="177">
        <f t="shared" si="41"/>
        <v>57069.599999999999</v>
      </c>
      <c r="J283" s="179">
        <f t="shared" si="42"/>
        <v>57069.599999999999</v>
      </c>
      <c r="L283" s="180"/>
      <c r="M283" s="181">
        <v>42000</v>
      </c>
      <c r="N283" s="181">
        <v>11088</v>
      </c>
    </row>
    <row r="284" spans="1:14" s="182" customFormat="1" ht="15" x14ac:dyDescent="0.4">
      <c r="A284" s="169">
        <f t="shared" si="31"/>
        <v>273</v>
      </c>
      <c r="B284" s="152" t="s">
        <v>664</v>
      </c>
      <c r="C284" s="235">
        <v>1</v>
      </c>
      <c r="D284" s="131" t="s">
        <v>290</v>
      </c>
      <c r="E284" s="237">
        <f t="shared" si="43"/>
        <v>8385</v>
      </c>
      <c r="F284" s="178">
        <f t="shared" si="39"/>
        <v>8385</v>
      </c>
      <c r="G284" s="237">
        <f t="shared" si="38"/>
        <v>5959.8</v>
      </c>
      <c r="H284" s="178">
        <f t="shared" si="40"/>
        <v>5959.8</v>
      </c>
      <c r="I284" s="177">
        <f t="shared" si="41"/>
        <v>14344.8</v>
      </c>
      <c r="J284" s="179">
        <f t="shared" si="42"/>
        <v>14344.8</v>
      </c>
      <c r="L284" s="180"/>
      <c r="M284" s="181">
        <v>7800</v>
      </c>
      <c r="N284" s="181">
        <v>5544</v>
      </c>
    </row>
    <row r="285" spans="1:14" s="182" customFormat="1" ht="15" x14ac:dyDescent="0.4">
      <c r="A285" s="169">
        <f t="shared" si="31"/>
        <v>274</v>
      </c>
      <c r="B285" s="192"/>
      <c r="C285" s="235"/>
      <c r="D285" s="131"/>
      <c r="E285" s="237"/>
      <c r="F285" s="178">
        <f t="shared" si="39"/>
        <v>0</v>
      </c>
      <c r="G285" s="237"/>
      <c r="H285" s="178">
        <f t="shared" si="40"/>
        <v>0</v>
      </c>
      <c r="I285" s="177"/>
      <c r="J285" s="179"/>
      <c r="L285" s="180"/>
      <c r="M285" s="181"/>
      <c r="N285" s="181"/>
    </row>
    <row r="286" spans="1:14" s="182" customFormat="1" ht="15" x14ac:dyDescent="0.4">
      <c r="A286" s="169">
        <f t="shared" si="31"/>
        <v>275</v>
      </c>
      <c r="B286" s="169" t="s">
        <v>672</v>
      </c>
      <c r="C286" s="235"/>
      <c r="D286" s="131"/>
      <c r="E286" s="237"/>
      <c r="F286" s="178">
        <f t="shared" si="39"/>
        <v>0</v>
      </c>
      <c r="G286" s="237"/>
      <c r="H286" s="178">
        <f t="shared" si="40"/>
        <v>0</v>
      </c>
      <c r="I286" s="177"/>
      <c r="J286" s="179"/>
      <c r="L286" s="180"/>
      <c r="M286" s="181"/>
      <c r="N286" s="181"/>
    </row>
    <row r="287" spans="1:14" s="182" customFormat="1" ht="27" x14ac:dyDescent="0.4">
      <c r="A287" s="169">
        <f t="shared" ref="A287:A350" si="44">ROW()-11</f>
        <v>276</v>
      </c>
      <c r="B287" s="192" t="s">
        <v>673</v>
      </c>
      <c r="C287" s="235"/>
      <c r="D287" s="131"/>
      <c r="E287" s="237"/>
      <c r="F287" s="178">
        <f t="shared" si="39"/>
        <v>0</v>
      </c>
      <c r="G287" s="237"/>
      <c r="H287" s="178">
        <f t="shared" si="40"/>
        <v>0</v>
      </c>
      <c r="I287" s="177"/>
      <c r="J287" s="179"/>
      <c r="L287" s="180"/>
      <c r="M287" s="181"/>
      <c r="N287" s="181"/>
    </row>
    <row r="288" spans="1:14" s="182" customFormat="1" ht="15" x14ac:dyDescent="0.4">
      <c r="A288" s="169">
        <f t="shared" si="44"/>
        <v>277</v>
      </c>
      <c r="B288" s="152" t="s">
        <v>674</v>
      </c>
      <c r="C288" s="235">
        <v>1148</v>
      </c>
      <c r="D288" s="131" t="s">
        <v>300</v>
      </c>
      <c r="E288" s="237">
        <f t="shared" si="43"/>
        <v>5.5426139999999986</v>
      </c>
      <c r="F288" s="178">
        <f t="shared" si="39"/>
        <v>6362.9208719999988</v>
      </c>
      <c r="G288" s="237">
        <f t="shared" si="38"/>
        <v>30.499276499999997</v>
      </c>
      <c r="H288" s="178">
        <f t="shared" si="40"/>
        <v>35013.169421999999</v>
      </c>
      <c r="I288" s="177">
        <f t="shared" si="41"/>
        <v>36.041890499999994</v>
      </c>
      <c r="J288" s="179">
        <f t="shared" si="42"/>
        <v>41376.090293999994</v>
      </c>
      <c r="L288" s="180"/>
      <c r="M288" s="181">
        <v>5.1559199999999992</v>
      </c>
      <c r="N288" s="181">
        <v>28.371419999999997</v>
      </c>
    </row>
    <row r="289" spans="1:14" s="182" customFormat="1" ht="15" x14ac:dyDescent="0.4">
      <c r="A289" s="169">
        <f t="shared" si="44"/>
        <v>278</v>
      </c>
      <c r="B289" s="152" t="s">
        <v>675</v>
      </c>
      <c r="C289" s="235">
        <v>574</v>
      </c>
      <c r="D289" s="131" t="s">
        <v>300</v>
      </c>
      <c r="E289" s="237">
        <f t="shared" si="43"/>
        <v>19.349999999999998</v>
      </c>
      <c r="F289" s="178">
        <f t="shared" si="39"/>
        <v>11106.9</v>
      </c>
      <c r="G289" s="237">
        <f t="shared" si="38"/>
        <v>8.9397000000000002</v>
      </c>
      <c r="H289" s="178">
        <f t="shared" si="40"/>
        <v>5131.3878000000004</v>
      </c>
      <c r="I289" s="177">
        <f t="shared" si="41"/>
        <v>28.289699999999996</v>
      </c>
      <c r="J289" s="179">
        <f t="shared" si="42"/>
        <v>16238.287799999998</v>
      </c>
      <c r="L289" s="180"/>
      <c r="M289" s="181">
        <v>18</v>
      </c>
      <c r="N289" s="181">
        <v>8.3160000000000007</v>
      </c>
    </row>
    <row r="290" spans="1:14" s="182" customFormat="1" ht="15" x14ac:dyDescent="0.4">
      <c r="A290" s="169">
        <f t="shared" si="44"/>
        <v>279</v>
      </c>
      <c r="B290" s="152" t="s">
        <v>676</v>
      </c>
      <c r="C290" s="235">
        <v>27.211851851851858</v>
      </c>
      <c r="D290" s="131" t="s">
        <v>292</v>
      </c>
      <c r="E290" s="237">
        <f t="shared" si="43"/>
        <v>193.5</v>
      </c>
      <c r="F290" s="178">
        <f t="shared" si="39"/>
        <v>5265.4933333333347</v>
      </c>
      <c r="G290" s="237">
        <f t="shared" si="38"/>
        <v>372.48750000000001</v>
      </c>
      <c r="H290" s="178">
        <f t="shared" si="40"/>
        <v>10136.074666666669</v>
      </c>
      <c r="I290" s="177">
        <f t="shared" si="41"/>
        <v>565.98749999999995</v>
      </c>
      <c r="J290" s="179">
        <f t="shared" si="42"/>
        <v>15401.568000000003</v>
      </c>
      <c r="L290" s="180"/>
      <c r="M290" s="181">
        <v>180</v>
      </c>
      <c r="N290" s="181">
        <v>346.5</v>
      </c>
    </row>
    <row r="291" spans="1:14" s="182" customFormat="1" ht="15" x14ac:dyDescent="0.4">
      <c r="A291" s="169">
        <f t="shared" si="44"/>
        <v>280</v>
      </c>
      <c r="B291" s="152" t="s">
        <v>677</v>
      </c>
      <c r="C291" s="235">
        <v>81.63555555555557</v>
      </c>
      <c r="D291" s="131" t="s">
        <v>292</v>
      </c>
      <c r="E291" s="237"/>
      <c r="F291" s="178">
        <f t="shared" si="39"/>
        <v>0</v>
      </c>
      <c r="G291" s="237">
        <f t="shared" si="38"/>
        <v>104.29650000000001</v>
      </c>
      <c r="H291" s="178">
        <f t="shared" si="40"/>
        <v>8514.3027200000015</v>
      </c>
      <c r="I291" s="177">
        <f t="shared" si="41"/>
        <v>104.29650000000001</v>
      </c>
      <c r="J291" s="179">
        <f t="shared" si="42"/>
        <v>8514.3027200000015</v>
      </c>
      <c r="L291" s="180"/>
      <c r="M291" s="181">
        <v>0</v>
      </c>
      <c r="N291" s="181">
        <v>97.02000000000001</v>
      </c>
    </row>
    <row r="292" spans="1:14" s="182" customFormat="1" ht="15" x14ac:dyDescent="0.4">
      <c r="A292" s="169">
        <f t="shared" si="44"/>
        <v>281</v>
      </c>
      <c r="B292" s="152" t="s">
        <v>678</v>
      </c>
      <c r="C292" s="235">
        <v>2</v>
      </c>
      <c r="D292" s="131" t="s">
        <v>679</v>
      </c>
      <c r="E292" s="237">
        <f t="shared" si="43"/>
        <v>1935</v>
      </c>
      <c r="F292" s="178">
        <f t="shared" si="39"/>
        <v>3870</v>
      </c>
      <c r="G292" s="237">
        <f t="shared" si="38"/>
        <v>446.98500000000001</v>
      </c>
      <c r="H292" s="178">
        <f t="shared" si="40"/>
        <v>893.97</v>
      </c>
      <c r="I292" s="177">
        <f t="shared" si="41"/>
        <v>2381.9850000000001</v>
      </c>
      <c r="J292" s="179">
        <f t="shared" si="42"/>
        <v>4763.97</v>
      </c>
      <c r="L292" s="180"/>
      <c r="M292" s="181">
        <v>1800</v>
      </c>
      <c r="N292" s="181">
        <v>415.8</v>
      </c>
    </row>
    <row r="293" spans="1:14" s="182" customFormat="1" ht="15" x14ac:dyDescent="0.4">
      <c r="A293" s="169">
        <f t="shared" si="44"/>
        <v>282</v>
      </c>
      <c r="B293" s="152"/>
      <c r="C293" s="235"/>
      <c r="D293" s="131"/>
      <c r="E293" s="237"/>
      <c r="F293" s="178">
        <f t="shared" si="39"/>
        <v>0</v>
      </c>
      <c r="G293" s="237"/>
      <c r="H293" s="178">
        <f t="shared" si="40"/>
        <v>0</v>
      </c>
      <c r="I293" s="177"/>
      <c r="J293" s="179"/>
      <c r="L293" s="180"/>
      <c r="M293" s="181"/>
      <c r="N293" s="181"/>
    </row>
    <row r="294" spans="1:14" s="182" customFormat="1" ht="27" x14ac:dyDescent="0.4">
      <c r="A294" s="169">
        <f t="shared" si="44"/>
        <v>283</v>
      </c>
      <c r="B294" s="192" t="s">
        <v>680</v>
      </c>
      <c r="C294" s="235"/>
      <c r="D294" s="131"/>
      <c r="E294" s="237"/>
      <c r="F294" s="178">
        <f t="shared" si="39"/>
        <v>0</v>
      </c>
      <c r="G294" s="237"/>
      <c r="H294" s="178">
        <f t="shared" si="40"/>
        <v>0</v>
      </c>
      <c r="I294" s="177"/>
      <c r="J294" s="179"/>
      <c r="L294" s="180"/>
      <c r="M294" s="181"/>
      <c r="N294" s="181"/>
    </row>
    <row r="295" spans="1:14" s="182" customFormat="1" ht="15" x14ac:dyDescent="0.4">
      <c r="A295" s="169">
        <f t="shared" si="44"/>
        <v>284</v>
      </c>
      <c r="B295" s="152" t="s">
        <v>674</v>
      </c>
      <c r="C295" s="235">
        <v>450</v>
      </c>
      <c r="D295" s="131" t="s">
        <v>300</v>
      </c>
      <c r="E295" s="237">
        <f t="shared" si="43"/>
        <v>5.5426139999999986</v>
      </c>
      <c r="F295" s="178">
        <f t="shared" si="39"/>
        <v>2494.1762999999992</v>
      </c>
      <c r="G295" s="237">
        <f t="shared" si="38"/>
        <v>30.499276499999997</v>
      </c>
      <c r="H295" s="178">
        <f t="shared" si="40"/>
        <v>13724.674424999999</v>
      </c>
      <c r="I295" s="177">
        <f t="shared" si="41"/>
        <v>36.041890499999994</v>
      </c>
      <c r="J295" s="179">
        <f t="shared" si="42"/>
        <v>16218.850724999997</v>
      </c>
      <c r="L295" s="180"/>
      <c r="M295" s="181">
        <v>5.1559199999999992</v>
      </c>
      <c r="N295" s="181">
        <v>28.371419999999997</v>
      </c>
    </row>
    <row r="296" spans="1:14" s="182" customFormat="1" ht="15" x14ac:dyDescent="0.4">
      <c r="A296" s="169">
        <f t="shared" si="44"/>
        <v>285</v>
      </c>
      <c r="B296" s="152" t="s">
        <v>681</v>
      </c>
      <c r="C296" s="235">
        <v>1200</v>
      </c>
      <c r="D296" s="131" t="s">
        <v>300</v>
      </c>
      <c r="E296" s="237">
        <f t="shared" si="43"/>
        <v>7.8822611999999994</v>
      </c>
      <c r="F296" s="178">
        <f t="shared" si="39"/>
        <v>9458.7134399999995</v>
      </c>
      <c r="G296" s="237">
        <f t="shared" si="38"/>
        <v>7.6145384700000003</v>
      </c>
      <c r="H296" s="178">
        <f t="shared" si="40"/>
        <v>9137.4461640000009</v>
      </c>
      <c r="I296" s="177">
        <f t="shared" si="41"/>
        <v>15.49679967</v>
      </c>
      <c r="J296" s="179">
        <f t="shared" si="42"/>
        <v>18596.159604</v>
      </c>
      <c r="L296" s="180"/>
      <c r="M296" s="181">
        <v>7.3323359999999997</v>
      </c>
      <c r="N296" s="181">
        <v>7.0832916000000008</v>
      </c>
    </row>
    <row r="297" spans="1:14" s="182" customFormat="1" ht="15" x14ac:dyDescent="0.4">
      <c r="A297" s="169">
        <f t="shared" si="44"/>
        <v>286</v>
      </c>
      <c r="B297" s="152" t="s">
        <v>442</v>
      </c>
      <c r="C297" s="235">
        <v>300</v>
      </c>
      <c r="D297" s="131" t="s">
        <v>300</v>
      </c>
      <c r="E297" s="237">
        <f t="shared" si="43"/>
        <v>3.6082332000000004</v>
      </c>
      <c r="F297" s="178">
        <f t="shared" si="39"/>
        <v>1082.4699600000001</v>
      </c>
      <c r="G297" s="237">
        <f t="shared" si="38"/>
        <v>5.4830160000000001</v>
      </c>
      <c r="H297" s="178">
        <f t="shared" si="40"/>
        <v>1644.9048</v>
      </c>
      <c r="I297" s="177">
        <f t="shared" si="41"/>
        <v>9.0912492</v>
      </c>
      <c r="J297" s="179">
        <f t="shared" si="42"/>
        <v>2727.3747600000002</v>
      </c>
      <c r="L297" s="180"/>
      <c r="M297" s="181">
        <v>3.3564960000000004</v>
      </c>
      <c r="N297" s="181">
        <v>5.1004800000000001</v>
      </c>
    </row>
    <row r="298" spans="1:14" s="182" customFormat="1" ht="15" x14ac:dyDescent="0.4">
      <c r="A298" s="169">
        <f t="shared" si="44"/>
        <v>287</v>
      </c>
      <c r="B298" s="152" t="s">
        <v>676</v>
      </c>
      <c r="C298" s="235">
        <v>8.8888888888888893</v>
      </c>
      <c r="D298" s="131" t="s">
        <v>292</v>
      </c>
      <c r="E298" s="237">
        <f t="shared" si="43"/>
        <v>193.5</v>
      </c>
      <c r="F298" s="178">
        <f t="shared" si="39"/>
        <v>1720</v>
      </c>
      <c r="G298" s="237">
        <f t="shared" si="38"/>
        <v>372.48750000000001</v>
      </c>
      <c r="H298" s="178">
        <f t="shared" si="40"/>
        <v>3311.0000000000005</v>
      </c>
      <c r="I298" s="177">
        <f t="shared" si="41"/>
        <v>565.98749999999995</v>
      </c>
      <c r="J298" s="179">
        <f t="shared" si="42"/>
        <v>5031</v>
      </c>
      <c r="L298" s="180"/>
      <c r="M298" s="181">
        <v>180</v>
      </c>
      <c r="N298" s="181">
        <v>346.5</v>
      </c>
    </row>
    <row r="299" spans="1:14" s="182" customFormat="1" ht="15" x14ac:dyDescent="0.4">
      <c r="A299" s="169">
        <f t="shared" si="44"/>
        <v>288</v>
      </c>
      <c r="B299" s="152" t="s">
        <v>677</v>
      </c>
      <c r="C299" s="235">
        <v>26.666666666666668</v>
      </c>
      <c r="D299" s="131" t="s">
        <v>292</v>
      </c>
      <c r="E299" s="237"/>
      <c r="F299" s="178">
        <f t="shared" si="39"/>
        <v>0</v>
      </c>
      <c r="G299" s="237">
        <f t="shared" si="38"/>
        <v>104.29650000000001</v>
      </c>
      <c r="H299" s="178">
        <f t="shared" si="40"/>
        <v>2781.2400000000002</v>
      </c>
      <c r="I299" s="177">
        <f t="shared" si="41"/>
        <v>104.29650000000001</v>
      </c>
      <c r="J299" s="179">
        <f t="shared" si="42"/>
        <v>2781.2400000000002</v>
      </c>
      <c r="L299" s="180"/>
      <c r="M299" s="181">
        <v>0</v>
      </c>
      <c r="N299" s="181">
        <v>97.02000000000001</v>
      </c>
    </row>
    <row r="300" spans="1:14" s="182" customFormat="1" ht="15" x14ac:dyDescent="0.4">
      <c r="A300" s="169">
        <f t="shared" si="44"/>
        <v>289</v>
      </c>
      <c r="B300" s="192"/>
      <c r="C300" s="235"/>
      <c r="D300" s="131"/>
      <c r="E300" s="237"/>
      <c r="F300" s="178">
        <f t="shared" si="39"/>
        <v>0</v>
      </c>
      <c r="G300" s="237"/>
      <c r="H300" s="178">
        <f t="shared" si="40"/>
        <v>0</v>
      </c>
      <c r="I300" s="177"/>
      <c r="J300" s="179"/>
      <c r="L300" s="180"/>
      <c r="M300" s="181"/>
      <c r="N300" s="181"/>
    </row>
    <row r="301" spans="1:14" s="182" customFormat="1" ht="15" x14ac:dyDescent="0.4">
      <c r="A301" s="169">
        <f t="shared" si="44"/>
        <v>290</v>
      </c>
      <c r="B301" s="192" t="s">
        <v>682</v>
      </c>
      <c r="C301" s="235"/>
      <c r="D301" s="131"/>
      <c r="E301" s="237"/>
      <c r="F301" s="178">
        <f t="shared" si="39"/>
        <v>0</v>
      </c>
      <c r="G301" s="237"/>
      <c r="H301" s="178">
        <f t="shared" si="40"/>
        <v>0</v>
      </c>
      <c r="I301" s="177"/>
      <c r="J301" s="179"/>
      <c r="L301" s="180"/>
      <c r="M301" s="181"/>
      <c r="N301" s="181"/>
    </row>
    <row r="302" spans="1:14" s="182" customFormat="1" ht="15" x14ac:dyDescent="0.4">
      <c r="A302" s="169">
        <f t="shared" si="44"/>
        <v>291</v>
      </c>
      <c r="B302" s="152" t="s">
        <v>683</v>
      </c>
      <c r="C302" s="235">
        <v>1</v>
      </c>
      <c r="D302" s="131" t="s">
        <v>290</v>
      </c>
      <c r="E302" s="237">
        <f t="shared" si="43"/>
        <v>1935</v>
      </c>
      <c r="F302" s="178">
        <f t="shared" si="39"/>
        <v>1935</v>
      </c>
      <c r="G302" s="237">
        <f t="shared" si="38"/>
        <v>446.98500000000001</v>
      </c>
      <c r="H302" s="178">
        <f t="shared" si="40"/>
        <v>446.98500000000001</v>
      </c>
      <c r="I302" s="177">
        <f t="shared" si="41"/>
        <v>2381.9850000000001</v>
      </c>
      <c r="J302" s="179">
        <f t="shared" si="42"/>
        <v>2381.9850000000001</v>
      </c>
      <c r="L302" s="180"/>
      <c r="M302" s="181">
        <v>1800</v>
      </c>
      <c r="N302" s="181">
        <v>415.8</v>
      </c>
    </row>
    <row r="303" spans="1:14" s="182" customFormat="1" ht="15" x14ac:dyDescent="0.4">
      <c r="A303" s="169">
        <f t="shared" si="44"/>
        <v>292</v>
      </c>
      <c r="B303" s="152" t="s">
        <v>684</v>
      </c>
      <c r="C303" s="235">
        <v>1</v>
      </c>
      <c r="D303" s="131" t="s">
        <v>290</v>
      </c>
      <c r="E303" s="237">
        <f t="shared" si="43"/>
        <v>12255</v>
      </c>
      <c r="F303" s="178">
        <f t="shared" si="39"/>
        <v>12255</v>
      </c>
      <c r="G303" s="237">
        <f t="shared" si="38"/>
        <v>3873.87</v>
      </c>
      <c r="H303" s="178">
        <f t="shared" si="40"/>
        <v>3873.87</v>
      </c>
      <c r="I303" s="177">
        <f t="shared" si="41"/>
        <v>16128.869999999999</v>
      </c>
      <c r="J303" s="179">
        <f t="shared" si="42"/>
        <v>16128.869999999999</v>
      </c>
      <c r="L303" s="180"/>
      <c r="M303" s="181">
        <v>11400</v>
      </c>
      <c r="N303" s="181">
        <v>3603.6</v>
      </c>
    </row>
    <row r="304" spans="1:14" s="182" customFormat="1" ht="15" x14ac:dyDescent="0.4">
      <c r="A304" s="169">
        <f t="shared" si="44"/>
        <v>293</v>
      </c>
      <c r="B304" s="152" t="s">
        <v>685</v>
      </c>
      <c r="C304" s="235">
        <v>1</v>
      </c>
      <c r="D304" s="131" t="s">
        <v>290</v>
      </c>
      <c r="E304" s="237">
        <f t="shared" si="43"/>
        <v>9997.5</v>
      </c>
      <c r="F304" s="178">
        <f t="shared" si="39"/>
        <v>9997.5</v>
      </c>
      <c r="G304" s="237">
        <f t="shared" si="38"/>
        <v>4171.8599999999997</v>
      </c>
      <c r="H304" s="178">
        <f t="shared" si="40"/>
        <v>4171.8599999999997</v>
      </c>
      <c r="I304" s="177">
        <f t="shared" si="41"/>
        <v>14169.36</v>
      </c>
      <c r="J304" s="179">
        <f t="shared" si="42"/>
        <v>14169.36</v>
      </c>
      <c r="L304" s="180"/>
      <c r="M304" s="181">
        <v>9300</v>
      </c>
      <c r="N304" s="181">
        <v>3880.8</v>
      </c>
    </row>
    <row r="305" spans="1:14" s="182" customFormat="1" ht="15" x14ac:dyDescent="0.4">
      <c r="A305" s="169">
        <f t="shared" si="44"/>
        <v>294</v>
      </c>
      <c r="B305" s="192"/>
      <c r="C305" s="235"/>
      <c r="D305" s="131"/>
      <c r="E305" s="237"/>
      <c r="F305" s="178">
        <f t="shared" si="39"/>
        <v>0</v>
      </c>
      <c r="G305" s="237"/>
      <c r="H305" s="178">
        <f t="shared" si="40"/>
        <v>0</v>
      </c>
      <c r="I305" s="177"/>
      <c r="J305" s="179"/>
      <c r="L305" s="180"/>
      <c r="M305" s="181"/>
      <c r="N305" s="181"/>
    </row>
    <row r="306" spans="1:14" s="182" customFormat="1" ht="15" x14ac:dyDescent="0.4">
      <c r="A306" s="169">
        <f t="shared" si="44"/>
        <v>295</v>
      </c>
      <c r="B306" s="192" t="s">
        <v>686</v>
      </c>
      <c r="C306" s="235"/>
      <c r="D306" s="131"/>
      <c r="E306" s="237"/>
      <c r="F306" s="178">
        <f t="shared" si="39"/>
        <v>0</v>
      </c>
      <c r="G306" s="237"/>
      <c r="H306" s="178">
        <f t="shared" si="40"/>
        <v>0</v>
      </c>
      <c r="I306" s="177"/>
      <c r="J306" s="179"/>
      <c r="L306" s="180"/>
      <c r="M306" s="181"/>
      <c r="N306" s="181"/>
    </row>
    <row r="307" spans="1:14" s="182" customFormat="1" ht="27" x14ac:dyDescent="0.4">
      <c r="A307" s="169">
        <f t="shared" si="44"/>
        <v>296</v>
      </c>
      <c r="B307" s="152" t="s">
        <v>687</v>
      </c>
      <c r="C307" s="235">
        <v>50</v>
      </c>
      <c r="D307" s="131" t="s">
        <v>300</v>
      </c>
      <c r="E307" s="237">
        <f t="shared" si="43"/>
        <v>7.7399999999999993</v>
      </c>
      <c r="F307" s="178">
        <f t="shared" si="39"/>
        <v>386.99999999999994</v>
      </c>
      <c r="G307" s="237">
        <f t="shared" si="38"/>
        <v>37.248750000000001</v>
      </c>
      <c r="H307" s="178">
        <f t="shared" si="40"/>
        <v>1862.4375</v>
      </c>
      <c r="I307" s="177">
        <f t="shared" si="41"/>
        <v>44.988750000000003</v>
      </c>
      <c r="J307" s="179">
        <f t="shared" si="42"/>
        <v>2249.4375</v>
      </c>
      <c r="L307" s="180"/>
      <c r="M307" s="181">
        <v>7.1999999999999993</v>
      </c>
      <c r="N307" s="181">
        <v>34.650000000000006</v>
      </c>
    </row>
    <row r="308" spans="1:14" s="182" customFormat="1" ht="15" x14ac:dyDescent="0.4">
      <c r="A308" s="169">
        <f t="shared" si="44"/>
        <v>297</v>
      </c>
      <c r="B308" s="152" t="s">
        <v>688</v>
      </c>
      <c r="C308" s="235"/>
      <c r="D308" s="131"/>
      <c r="E308" s="237"/>
      <c r="F308" s="178">
        <f t="shared" si="39"/>
        <v>0</v>
      </c>
      <c r="G308" s="237"/>
      <c r="H308" s="178">
        <f t="shared" si="40"/>
        <v>0</v>
      </c>
      <c r="I308" s="177"/>
      <c r="J308" s="179"/>
      <c r="L308" s="180"/>
      <c r="M308" s="181">
        <v>0</v>
      </c>
      <c r="N308" s="181">
        <v>0</v>
      </c>
    </row>
    <row r="309" spans="1:14" s="182" customFormat="1" ht="15" x14ac:dyDescent="0.4">
      <c r="A309" s="169">
        <f t="shared" si="44"/>
        <v>298</v>
      </c>
      <c r="B309" s="152" t="s">
        <v>689</v>
      </c>
      <c r="C309" s="235">
        <v>315</v>
      </c>
      <c r="D309" s="131" t="s">
        <v>300</v>
      </c>
      <c r="E309" s="237">
        <f t="shared" si="43"/>
        <v>1.2353040000000002</v>
      </c>
      <c r="F309" s="178">
        <f t="shared" si="39"/>
        <v>389.12076000000008</v>
      </c>
      <c r="G309" s="237">
        <f t="shared" si="38"/>
        <v>15.249638249999999</v>
      </c>
      <c r="H309" s="178">
        <f t="shared" si="40"/>
        <v>4803.6360487499996</v>
      </c>
      <c r="I309" s="177">
        <f t="shared" si="41"/>
        <v>16.48494225</v>
      </c>
      <c r="J309" s="179">
        <f t="shared" si="42"/>
        <v>5192.7568087499994</v>
      </c>
      <c r="L309" s="180"/>
      <c r="M309" s="181">
        <v>1.1491200000000001</v>
      </c>
      <c r="N309" s="181">
        <v>14.185709999999998</v>
      </c>
    </row>
    <row r="310" spans="1:14" s="182" customFormat="1" ht="15" x14ac:dyDescent="0.4">
      <c r="A310" s="169">
        <f t="shared" si="44"/>
        <v>299</v>
      </c>
      <c r="B310" s="152" t="s">
        <v>470</v>
      </c>
      <c r="C310" s="235">
        <v>267</v>
      </c>
      <c r="D310" s="131" t="s">
        <v>300</v>
      </c>
      <c r="E310" s="237">
        <f t="shared" si="43"/>
        <v>0.61641359999999989</v>
      </c>
      <c r="F310" s="178">
        <f t="shared" si="39"/>
        <v>164.58243119999997</v>
      </c>
      <c r="G310" s="237">
        <f t="shared" si="38"/>
        <v>2.1092477175000002</v>
      </c>
      <c r="H310" s="178">
        <f t="shared" si="40"/>
        <v>563.16914057250005</v>
      </c>
      <c r="I310" s="177">
        <f t="shared" si="41"/>
        <v>2.7256613175000002</v>
      </c>
      <c r="J310" s="179">
        <f t="shared" si="42"/>
        <v>727.75157177250003</v>
      </c>
      <c r="L310" s="180"/>
      <c r="M310" s="181">
        <v>0.57340799999999992</v>
      </c>
      <c r="N310" s="181">
        <v>1.9620909000000002</v>
      </c>
    </row>
    <row r="311" spans="1:14" s="182" customFormat="1" ht="15" x14ac:dyDescent="0.4">
      <c r="A311" s="169">
        <f t="shared" si="44"/>
        <v>300</v>
      </c>
      <c r="B311" s="152" t="s">
        <v>423</v>
      </c>
      <c r="C311" s="235">
        <v>89</v>
      </c>
      <c r="D311" s="131" t="s">
        <v>300</v>
      </c>
      <c r="E311" s="237">
        <f t="shared" si="43"/>
        <v>0.25031159999999997</v>
      </c>
      <c r="F311" s="178">
        <f t="shared" si="39"/>
        <v>22.277732399999998</v>
      </c>
      <c r="G311" s="237">
        <f t="shared" si="38"/>
        <v>1.370754</v>
      </c>
      <c r="H311" s="178">
        <f t="shared" si="40"/>
        <v>121.997106</v>
      </c>
      <c r="I311" s="177">
        <f t="shared" si="41"/>
        <v>1.6210656000000001</v>
      </c>
      <c r="J311" s="179">
        <f t="shared" si="42"/>
        <v>144.27483840000002</v>
      </c>
      <c r="L311" s="180"/>
      <c r="M311" s="181">
        <v>0.232848</v>
      </c>
      <c r="N311" s="181">
        <v>1.27512</v>
      </c>
    </row>
    <row r="312" spans="1:14" s="182" customFormat="1" ht="15" x14ac:dyDescent="0.4">
      <c r="A312" s="169">
        <f t="shared" si="44"/>
        <v>301</v>
      </c>
      <c r="B312" s="152" t="s">
        <v>469</v>
      </c>
      <c r="C312" s="235">
        <v>504</v>
      </c>
      <c r="D312" s="131" t="s">
        <v>300</v>
      </c>
      <c r="E312" s="237">
        <f t="shared" si="43"/>
        <v>1.9139472</v>
      </c>
      <c r="F312" s="178">
        <f t="shared" si="39"/>
        <v>964.62938880000002</v>
      </c>
      <c r="G312" s="237">
        <f t="shared" si="38"/>
        <v>3.426885</v>
      </c>
      <c r="H312" s="178">
        <f t="shared" si="40"/>
        <v>1727.15004</v>
      </c>
      <c r="I312" s="177">
        <f t="shared" si="41"/>
        <v>5.3408321999999995</v>
      </c>
      <c r="J312" s="179">
        <f t="shared" si="42"/>
        <v>2691.7794287999996</v>
      </c>
      <c r="L312" s="180"/>
      <c r="M312" s="181">
        <v>1.780416</v>
      </c>
      <c r="N312" s="181">
        <v>3.1878000000000002</v>
      </c>
    </row>
    <row r="313" spans="1:14" s="182" customFormat="1" ht="15" x14ac:dyDescent="0.4">
      <c r="A313" s="169">
        <f t="shared" si="44"/>
        <v>302</v>
      </c>
      <c r="B313" s="152" t="s">
        <v>432</v>
      </c>
      <c r="C313" s="235">
        <v>126</v>
      </c>
      <c r="D313" s="131" t="s">
        <v>300</v>
      </c>
      <c r="E313" s="237">
        <f t="shared" si="43"/>
        <v>0.40015799999999996</v>
      </c>
      <c r="F313" s="178">
        <f t="shared" si="39"/>
        <v>50.419907999999992</v>
      </c>
      <c r="G313" s="237">
        <f t="shared" si="38"/>
        <v>1.7134425</v>
      </c>
      <c r="H313" s="178">
        <f t="shared" si="40"/>
        <v>215.893755</v>
      </c>
      <c r="I313" s="177">
        <f t="shared" si="41"/>
        <v>2.1136005</v>
      </c>
      <c r="J313" s="179">
        <f t="shared" si="42"/>
        <v>266.31366300000002</v>
      </c>
      <c r="L313" s="180"/>
      <c r="M313" s="181">
        <v>0.37223999999999996</v>
      </c>
      <c r="N313" s="181">
        <v>1.5939000000000001</v>
      </c>
    </row>
    <row r="314" spans="1:14" s="182" customFormat="1" ht="15" x14ac:dyDescent="0.4">
      <c r="A314" s="169">
        <f t="shared" si="44"/>
        <v>303</v>
      </c>
      <c r="B314" s="152" t="s">
        <v>676</v>
      </c>
      <c r="C314" s="235">
        <v>7.1055555555555561</v>
      </c>
      <c r="D314" s="131" t="s">
        <v>292</v>
      </c>
      <c r="E314" s="237">
        <f t="shared" si="43"/>
        <v>193.5</v>
      </c>
      <c r="F314" s="178">
        <f t="shared" si="39"/>
        <v>1374.9250000000002</v>
      </c>
      <c r="G314" s="237">
        <f t="shared" si="38"/>
        <v>372.48750000000001</v>
      </c>
      <c r="H314" s="178">
        <f t="shared" si="40"/>
        <v>2646.7306250000001</v>
      </c>
      <c r="I314" s="177">
        <f t="shared" si="41"/>
        <v>565.98749999999995</v>
      </c>
      <c r="J314" s="179">
        <f t="shared" si="42"/>
        <v>4021.6556249999999</v>
      </c>
      <c r="L314" s="180"/>
      <c r="M314" s="181">
        <v>180</v>
      </c>
      <c r="N314" s="181">
        <v>346.5</v>
      </c>
    </row>
    <row r="315" spans="1:14" s="182" customFormat="1" ht="15" x14ac:dyDescent="0.4">
      <c r="A315" s="169">
        <f t="shared" si="44"/>
        <v>304</v>
      </c>
      <c r="B315" s="152" t="s">
        <v>677</v>
      </c>
      <c r="C315" s="235">
        <v>21.31666666666667</v>
      </c>
      <c r="D315" s="131" t="s">
        <v>292</v>
      </c>
      <c r="E315" s="237"/>
      <c r="F315" s="178">
        <f t="shared" si="39"/>
        <v>0</v>
      </c>
      <c r="G315" s="237">
        <f t="shared" si="38"/>
        <v>104.29650000000001</v>
      </c>
      <c r="H315" s="178">
        <f t="shared" si="40"/>
        <v>2223.2537250000005</v>
      </c>
      <c r="I315" s="177">
        <f t="shared" si="41"/>
        <v>104.29650000000001</v>
      </c>
      <c r="J315" s="179">
        <f t="shared" si="42"/>
        <v>2223.2537250000005</v>
      </c>
      <c r="L315" s="180"/>
      <c r="M315" s="181">
        <v>0</v>
      </c>
      <c r="N315" s="181">
        <v>97.02000000000001</v>
      </c>
    </row>
    <row r="316" spans="1:14" s="182" customFormat="1" ht="15" x14ac:dyDescent="0.4">
      <c r="A316" s="169">
        <f t="shared" si="44"/>
        <v>305</v>
      </c>
      <c r="B316" s="192"/>
      <c r="C316" s="235"/>
      <c r="D316" s="131"/>
      <c r="E316" s="237"/>
      <c r="F316" s="178">
        <f t="shared" si="39"/>
        <v>0</v>
      </c>
      <c r="G316" s="237"/>
      <c r="H316" s="178">
        <f t="shared" si="40"/>
        <v>0</v>
      </c>
      <c r="I316" s="177"/>
      <c r="J316" s="179"/>
      <c r="L316" s="180"/>
      <c r="M316" s="181"/>
      <c r="N316" s="181"/>
    </row>
    <row r="317" spans="1:14" s="182" customFormat="1" ht="15" x14ac:dyDescent="0.4">
      <c r="A317" s="169">
        <f t="shared" si="44"/>
        <v>306</v>
      </c>
      <c r="B317" s="192" t="s">
        <v>690</v>
      </c>
      <c r="C317" s="235"/>
      <c r="D317" s="131"/>
      <c r="E317" s="237"/>
      <c r="F317" s="178">
        <f t="shared" si="39"/>
        <v>0</v>
      </c>
      <c r="G317" s="237"/>
      <c r="H317" s="178">
        <f t="shared" si="40"/>
        <v>0</v>
      </c>
      <c r="I317" s="177"/>
      <c r="J317" s="179"/>
      <c r="L317" s="180"/>
      <c r="M317" s="181"/>
      <c r="N317" s="181"/>
    </row>
    <row r="318" spans="1:14" s="182" customFormat="1" ht="15" x14ac:dyDescent="0.4">
      <c r="A318" s="169">
        <f t="shared" si="44"/>
        <v>307</v>
      </c>
      <c r="B318" s="192"/>
      <c r="C318" s="235"/>
      <c r="D318" s="131"/>
      <c r="E318" s="237"/>
      <c r="F318" s="178">
        <f t="shared" si="39"/>
        <v>0</v>
      </c>
      <c r="G318" s="237"/>
      <c r="H318" s="178">
        <f t="shared" si="40"/>
        <v>0</v>
      </c>
      <c r="I318" s="177"/>
      <c r="J318" s="179"/>
      <c r="L318" s="180"/>
      <c r="M318" s="181"/>
      <c r="N318" s="181"/>
    </row>
    <row r="319" spans="1:14" s="182" customFormat="1" ht="15" x14ac:dyDescent="0.4">
      <c r="A319" s="169">
        <f t="shared" si="44"/>
        <v>308</v>
      </c>
      <c r="B319" s="192" t="s">
        <v>691</v>
      </c>
      <c r="C319" s="235"/>
      <c r="D319" s="131"/>
      <c r="E319" s="237"/>
      <c r="F319" s="178">
        <f t="shared" si="39"/>
        <v>0</v>
      </c>
      <c r="G319" s="237"/>
      <c r="H319" s="178">
        <f t="shared" si="40"/>
        <v>0</v>
      </c>
      <c r="I319" s="177"/>
      <c r="J319" s="179"/>
      <c r="L319" s="180"/>
      <c r="M319" s="181"/>
      <c r="N319" s="181"/>
    </row>
    <row r="320" spans="1:14" s="182" customFormat="1" ht="15" x14ac:dyDescent="0.4">
      <c r="A320" s="169">
        <f t="shared" si="44"/>
        <v>309</v>
      </c>
      <c r="B320" s="122" t="s">
        <v>692</v>
      </c>
      <c r="C320" s="235">
        <v>465</v>
      </c>
      <c r="D320" s="131" t="s">
        <v>300</v>
      </c>
      <c r="E320" s="237">
        <f t="shared" si="43"/>
        <v>21.5</v>
      </c>
      <c r="F320" s="178">
        <f t="shared" si="39"/>
        <v>9997.5</v>
      </c>
      <c r="G320" s="237">
        <f t="shared" si="38"/>
        <v>43</v>
      </c>
      <c r="H320" s="178">
        <f t="shared" si="40"/>
        <v>19995</v>
      </c>
      <c r="I320" s="177">
        <f t="shared" si="41"/>
        <v>64.5</v>
      </c>
      <c r="J320" s="179">
        <f t="shared" si="42"/>
        <v>29992.5</v>
      </c>
      <c r="L320" s="180"/>
      <c r="M320" s="181">
        <v>20</v>
      </c>
      <c r="N320" s="181">
        <v>40</v>
      </c>
    </row>
    <row r="321" spans="1:14" s="182" customFormat="1" ht="15" x14ac:dyDescent="0.4">
      <c r="A321" s="169">
        <f t="shared" si="44"/>
        <v>310</v>
      </c>
      <c r="B321" s="192"/>
      <c r="C321" s="235"/>
      <c r="D321" s="131"/>
      <c r="E321" s="237"/>
      <c r="F321" s="178">
        <f t="shared" si="39"/>
        <v>0</v>
      </c>
      <c r="G321" s="237"/>
      <c r="H321" s="178">
        <f t="shared" si="40"/>
        <v>0</v>
      </c>
      <c r="I321" s="177"/>
      <c r="J321" s="179"/>
      <c r="L321" s="180"/>
      <c r="M321" s="181"/>
      <c r="N321" s="181"/>
    </row>
    <row r="322" spans="1:14" s="182" customFormat="1" ht="15" x14ac:dyDescent="0.4">
      <c r="A322" s="169">
        <f t="shared" si="44"/>
        <v>311</v>
      </c>
      <c r="B322" s="192" t="s">
        <v>693</v>
      </c>
      <c r="C322" s="235"/>
      <c r="D322" s="131"/>
      <c r="E322" s="237"/>
      <c r="F322" s="178">
        <f t="shared" si="39"/>
        <v>0</v>
      </c>
      <c r="G322" s="237"/>
      <c r="H322" s="178">
        <f t="shared" si="40"/>
        <v>0</v>
      </c>
      <c r="I322" s="177"/>
      <c r="J322" s="179"/>
      <c r="L322" s="180"/>
      <c r="M322" s="181"/>
      <c r="N322" s="181"/>
    </row>
    <row r="323" spans="1:14" s="182" customFormat="1" ht="15" x14ac:dyDescent="0.4">
      <c r="A323" s="169">
        <f t="shared" si="44"/>
        <v>312</v>
      </c>
      <c r="B323" s="152" t="s">
        <v>694</v>
      </c>
      <c r="C323" s="235">
        <v>2560</v>
      </c>
      <c r="D323" s="131" t="s">
        <v>300</v>
      </c>
      <c r="E323" s="237">
        <f t="shared" si="43"/>
        <v>3.5216999999999996</v>
      </c>
      <c r="F323" s="178">
        <f t="shared" si="39"/>
        <v>9015.5519999999997</v>
      </c>
      <c r="G323" s="237">
        <f t="shared" si="38"/>
        <v>30.543975</v>
      </c>
      <c r="H323" s="178">
        <f t="shared" si="40"/>
        <v>78192.576000000001</v>
      </c>
      <c r="I323" s="177">
        <f t="shared" si="41"/>
        <v>34.065674999999999</v>
      </c>
      <c r="J323" s="179">
        <f t="shared" si="42"/>
        <v>87208.127999999997</v>
      </c>
      <c r="L323" s="180"/>
      <c r="M323" s="181">
        <v>3.2759999999999998</v>
      </c>
      <c r="N323" s="181">
        <v>28.413</v>
      </c>
    </row>
    <row r="324" spans="1:14" s="182" customFormat="1" ht="15" x14ac:dyDescent="0.4">
      <c r="A324" s="169">
        <f t="shared" si="44"/>
        <v>313</v>
      </c>
      <c r="B324" s="152" t="s">
        <v>695</v>
      </c>
      <c r="C324" s="235">
        <v>53.333333333333336</v>
      </c>
      <c r="D324" s="131" t="s">
        <v>292</v>
      </c>
      <c r="E324" s="237">
        <f t="shared" si="43"/>
        <v>193.5</v>
      </c>
      <c r="F324" s="178">
        <f t="shared" si="39"/>
        <v>10320</v>
      </c>
      <c r="G324" s="237">
        <f t="shared" si="38"/>
        <v>372.48750000000001</v>
      </c>
      <c r="H324" s="178">
        <f t="shared" si="40"/>
        <v>19866</v>
      </c>
      <c r="I324" s="177">
        <f t="shared" si="41"/>
        <v>565.98749999999995</v>
      </c>
      <c r="J324" s="179">
        <f t="shared" si="42"/>
        <v>30186</v>
      </c>
      <c r="L324" s="180"/>
      <c r="M324" s="181">
        <v>180</v>
      </c>
      <c r="N324" s="181">
        <v>346.5</v>
      </c>
    </row>
    <row r="325" spans="1:14" s="182" customFormat="1" ht="15" x14ac:dyDescent="0.4">
      <c r="A325" s="169">
        <f t="shared" si="44"/>
        <v>314</v>
      </c>
      <c r="B325" s="152" t="s">
        <v>696</v>
      </c>
      <c r="C325" s="235">
        <v>160</v>
      </c>
      <c r="D325" s="131" t="s">
        <v>292</v>
      </c>
      <c r="E325" s="237"/>
      <c r="F325" s="178">
        <f t="shared" si="39"/>
        <v>0</v>
      </c>
      <c r="G325" s="237">
        <f t="shared" si="38"/>
        <v>104.29650000000001</v>
      </c>
      <c r="H325" s="178">
        <f t="shared" si="40"/>
        <v>16687.440000000002</v>
      </c>
      <c r="I325" s="177">
        <f t="shared" si="41"/>
        <v>104.29650000000001</v>
      </c>
      <c r="J325" s="179">
        <f t="shared" si="42"/>
        <v>16687.440000000002</v>
      </c>
      <c r="L325" s="180"/>
      <c r="M325" s="181">
        <v>0</v>
      </c>
      <c r="N325" s="181">
        <v>97.02000000000001</v>
      </c>
    </row>
    <row r="326" spans="1:14" s="182" customFormat="1" ht="15" x14ac:dyDescent="0.4">
      <c r="A326" s="169">
        <f t="shared" si="44"/>
        <v>315</v>
      </c>
      <c r="B326" s="152" t="s">
        <v>697</v>
      </c>
      <c r="C326" s="235">
        <v>3</v>
      </c>
      <c r="D326" s="131" t="s">
        <v>290</v>
      </c>
      <c r="E326" s="237">
        <f t="shared" si="43"/>
        <v>4515</v>
      </c>
      <c r="F326" s="178">
        <f t="shared" si="39"/>
        <v>13545</v>
      </c>
      <c r="G326" s="237">
        <f t="shared" si="38"/>
        <v>2979.9</v>
      </c>
      <c r="H326" s="178">
        <f t="shared" si="40"/>
        <v>8939.7000000000007</v>
      </c>
      <c r="I326" s="177">
        <f t="shared" si="41"/>
        <v>7494.9</v>
      </c>
      <c r="J326" s="179">
        <f t="shared" si="42"/>
        <v>22484.699999999997</v>
      </c>
      <c r="L326" s="180"/>
      <c r="M326" s="181">
        <v>4200</v>
      </c>
      <c r="N326" s="181">
        <v>2772</v>
      </c>
    </row>
    <row r="327" spans="1:14" s="182" customFormat="1" ht="15" x14ac:dyDescent="0.4">
      <c r="A327" s="169">
        <f t="shared" si="44"/>
        <v>316</v>
      </c>
      <c r="B327" s="192"/>
      <c r="C327" s="235"/>
      <c r="D327" s="131"/>
      <c r="E327" s="237"/>
      <c r="F327" s="178">
        <f t="shared" si="39"/>
        <v>0</v>
      </c>
      <c r="G327" s="237"/>
      <c r="H327" s="178">
        <f t="shared" si="40"/>
        <v>0</v>
      </c>
      <c r="I327" s="177"/>
      <c r="J327" s="179"/>
      <c r="L327" s="180"/>
      <c r="M327" s="181"/>
      <c r="N327" s="181"/>
    </row>
    <row r="328" spans="1:14" s="182" customFormat="1" ht="15" x14ac:dyDescent="0.4">
      <c r="A328" s="169">
        <f t="shared" si="44"/>
        <v>317</v>
      </c>
      <c r="B328" s="192" t="s">
        <v>698</v>
      </c>
      <c r="C328" s="235"/>
      <c r="D328" s="131"/>
      <c r="E328" s="237"/>
      <c r="F328" s="178">
        <f t="shared" si="39"/>
        <v>0</v>
      </c>
      <c r="G328" s="237"/>
      <c r="H328" s="178">
        <f t="shared" si="40"/>
        <v>0</v>
      </c>
      <c r="I328" s="177"/>
      <c r="J328" s="179"/>
      <c r="L328" s="180"/>
      <c r="M328" s="181"/>
      <c r="N328" s="181"/>
    </row>
    <row r="329" spans="1:14" s="182" customFormat="1" ht="15" x14ac:dyDescent="0.4">
      <c r="A329" s="169">
        <f t="shared" si="44"/>
        <v>318</v>
      </c>
      <c r="B329" s="152" t="s">
        <v>694</v>
      </c>
      <c r="C329" s="235">
        <v>380</v>
      </c>
      <c r="D329" s="131" t="s">
        <v>300</v>
      </c>
      <c r="E329" s="237">
        <f t="shared" si="43"/>
        <v>3.5216999999999996</v>
      </c>
      <c r="F329" s="178">
        <f t="shared" si="39"/>
        <v>1338.2459999999999</v>
      </c>
      <c r="G329" s="237">
        <f t="shared" si="38"/>
        <v>30.543975</v>
      </c>
      <c r="H329" s="178">
        <f t="shared" si="40"/>
        <v>11606.710499999999</v>
      </c>
      <c r="I329" s="177">
        <f t="shared" si="41"/>
        <v>34.065674999999999</v>
      </c>
      <c r="J329" s="179">
        <f t="shared" si="42"/>
        <v>12944.9565</v>
      </c>
      <c r="L329" s="180"/>
      <c r="M329" s="181">
        <v>3.2759999999999998</v>
      </c>
      <c r="N329" s="181">
        <v>28.413</v>
      </c>
    </row>
    <row r="330" spans="1:14" s="182" customFormat="1" ht="15" x14ac:dyDescent="0.4">
      <c r="A330" s="169">
        <f t="shared" si="44"/>
        <v>319</v>
      </c>
      <c r="B330" s="152" t="s">
        <v>699</v>
      </c>
      <c r="C330" s="235">
        <v>190</v>
      </c>
      <c r="D330" s="131" t="s">
        <v>300</v>
      </c>
      <c r="E330" s="237">
        <f t="shared" si="43"/>
        <v>1.2353040000000002</v>
      </c>
      <c r="F330" s="178">
        <f t="shared" si="39"/>
        <v>234.70776000000004</v>
      </c>
      <c r="G330" s="237">
        <f t="shared" ref="G330:G393" si="45">N330*$N$8</f>
        <v>15.249638249999999</v>
      </c>
      <c r="H330" s="178">
        <f t="shared" si="40"/>
        <v>2897.4312674999996</v>
      </c>
      <c r="I330" s="177">
        <f t="shared" si="41"/>
        <v>16.48494225</v>
      </c>
      <c r="J330" s="179">
        <f t="shared" si="42"/>
        <v>3132.1390274999999</v>
      </c>
      <c r="L330" s="180"/>
      <c r="M330" s="181">
        <v>1.1491200000000001</v>
      </c>
      <c r="N330" s="181">
        <v>14.185709999999998</v>
      </c>
    </row>
    <row r="331" spans="1:14" s="182" customFormat="1" ht="15" x14ac:dyDescent="0.4">
      <c r="A331" s="169">
        <f t="shared" si="44"/>
        <v>320</v>
      </c>
      <c r="B331" s="152" t="s">
        <v>695</v>
      </c>
      <c r="C331" s="235">
        <v>10.775462962962964</v>
      </c>
      <c r="D331" s="131" t="s">
        <v>292</v>
      </c>
      <c r="E331" s="237">
        <f t="shared" si="43"/>
        <v>193.5</v>
      </c>
      <c r="F331" s="178">
        <f t="shared" si="39"/>
        <v>2085.0520833333335</v>
      </c>
      <c r="G331" s="237">
        <f t="shared" si="45"/>
        <v>372.48750000000001</v>
      </c>
      <c r="H331" s="178">
        <f t="shared" si="40"/>
        <v>4013.725260416667</v>
      </c>
      <c r="I331" s="177">
        <f t="shared" si="41"/>
        <v>565.98749999999995</v>
      </c>
      <c r="J331" s="179">
        <f t="shared" si="42"/>
        <v>6098.77734375</v>
      </c>
      <c r="L331" s="180"/>
      <c r="M331" s="181">
        <v>180</v>
      </c>
      <c r="N331" s="181">
        <v>346.5</v>
      </c>
    </row>
    <row r="332" spans="1:14" s="182" customFormat="1" ht="15" x14ac:dyDescent="0.4">
      <c r="A332" s="169">
        <f t="shared" si="44"/>
        <v>321</v>
      </c>
      <c r="B332" s="152" t="s">
        <v>696</v>
      </c>
      <c r="C332" s="235">
        <v>32.326388888888893</v>
      </c>
      <c r="D332" s="131" t="s">
        <v>292</v>
      </c>
      <c r="E332" s="237"/>
      <c r="F332" s="178">
        <f t="shared" si="39"/>
        <v>0</v>
      </c>
      <c r="G332" s="237">
        <f t="shared" si="45"/>
        <v>104.29650000000001</v>
      </c>
      <c r="H332" s="178">
        <f t="shared" si="40"/>
        <v>3371.5292187500008</v>
      </c>
      <c r="I332" s="177">
        <f t="shared" si="41"/>
        <v>104.29650000000001</v>
      </c>
      <c r="J332" s="179">
        <f t="shared" si="42"/>
        <v>3371.5292187500008</v>
      </c>
      <c r="L332" s="180"/>
      <c r="M332" s="181">
        <v>0</v>
      </c>
      <c r="N332" s="181">
        <v>97.02000000000001</v>
      </c>
    </row>
    <row r="333" spans="1:14" s="182" customFormat="1" ht="15" x14ac:dyDescent="0.4">
      <c r="A333" s="169">
        <f t="shared" si="44"/>
        <v>322</v>
      </c>
      <c r="B333" s="192"/>
      <c r="C333" s="235"/>
      <c r="D333" s="131"/>
      <c r="E333" s="237"/>
      <c r="F333" s="178">
        <f t="shared" si="39"/>
        <v>0</v>
      </c>
      <c r="G333" s="237"/>
      <c r="H333" s="178">
        <f t="shared" si="40"/>
        <v>0</v>
      </c>
      <c r="I333" s="177"/>
      <c r="J333" s="179"/>
      <c r="L333" s="180"/>
      <c r="M333" s="181"/>
      <c r="N333" s="181"/>
    </row>
    <row r="334" spans="1:14" s="182" customFormat="1" ht="15" x14ac:dyDescent="0.4">
      <c r="A334" s="169">
        <f t="shared" si="44"/>
        <v>323</v>
      </c>
      <c r="B334" s="192" t="s">
        <v>700</v>
      </c>
      <c r="C334" s="235"/>
      <c r="D334" s="131"/>
      <c r="E334" s="237"/>
      <c r="F334" s="178">
        <f t="shared" si="39"/>
        <v>0</v>
      </c>
      <c r="G334" s="237"/>
      <c r="H334" s="178">
        <f t="shared" si="40"/>
        <v>0</v>
      </c>
      <c r="I334" s="177"/>
      <c r="J334" s="179"/>
      <c r="L334" s="180"/>
      <c r="M334" s="181"/>
      <c r="N334" s="181"/>
    </row>
    <row r="335" spans="1:14" s="182" customFormat="1" ht="15" x14ac:dyDescent="0.4">
      <c r="A335" s="169">
        <f t="shared" si="44"/>
        <v>324</v>
      </c>
      <c r="B335" s="152" t="s">
        <v>699</v>
      </c>
      <c r="C335" s="235">
        <v>170</v>
      </c>
      <c r="D335" s="131" t="s">
        <v>300</v>
      </c>
      <c r="E335" s="237">
        <f t="shared" si="43"/>
        <v>1.2353040000000002</v>
      </c>
      <c r="F335" s="178">
        <f t="shared" si="39"/>
        <v>210.00168000000002</v>
      </c>
      <c r="G335" s="237">
        <f t="shared" si="45"/>
        <v>15.249638249999999</v>
      </c>
      <c r="H335" s="178">
        <f t="shared" si="40"/>
        <v>2592.4385024999997</v>
      </c>
      <c r="I335" s="177">
        <f t="shared" si="41"/>
        <v>16.48494225</v>
      </c>
      <c r="J335" s="179">
        <f t="shared" si="42"/>
        <v>2802.4401825</v>
      </c>
      <c r="L335" s="180"/>
      <c r="M335" s="181">
        <v>1.1491200000000001</v>
      </c>
      <c r="N335" s="181">
        <v>14.185709999999998</v>
      </c>
    </row>
    <row r="336" spans="1:14" s="182" customFormat="1" ht="15" x14ac:dyDescent="0.4">
      <c r="A336" s="169">
        <f t="shared" si="44"/>
        <v>325</v>
      </c>
      <c r="B336" s="152" t="s">
        <v>695</v>
      </c>
      <c r="C336" s="235">
        <v>0.78703703703703709</v>
      </c>
      <c r="D336" s="131" t="s">
        <v>292</v>
      </c>
      <c r="E336" s="237">
        <f t="shared" si="43"/>
        <v>193.5</v>
      </c>
      <c r="F336" s="178">
        <f t="shared" si="39"/>
        <v>152.29166666666669</v>
      </c>
      <c r="G336" s="237">
        <f t="shared" si="45"/>
        <v>372.48750000000001</v>
      </c>
      <c r="H336" s="178">
        <f t="shared" si="40"/>
        <v>293.16145833333337</v>
      </c>
      <c r="I336" s="177">
        <f t="shared" si="41"/>
        <v>565.98749999999995</v>
      </c>
      <c r="J336" s="179">
        <f t="shared" si="42"/>
        <v>445.453125</v>
      </c>
      <c r="L336" s="180"/>
      <c r="M336" s="181">
        <v>180</v>
      </c>
      <c r="N336" s="181">
        <v>346.5</v>
      </c>
    </row>
    <row r="337" spans="1:14" s="182" customFormat="1" ht="15" x14ac:dyDescent="0.4">
      <c r="A337" s="169">
        <f t="shared" si="44"/>
        <v>326</v>
      </c>
      <c r="B337" s="152" t="s">
        <v>696</v>
      </c>
      <c r="C337" s="235">
        <v>2.3611111111111112</v>
      </c>
      <c r="D337" s="131" t="s">
        <v>292</v>
      </c>
      <c r="E337" s="237"/>
      <c r="F337" s="178">
        <f t="shared" si="39"/>
        <v>0</v>
      </c>
      <c r="G337" s="237">
        <f t="shared" si="45"/>
        <v>104.29650000000001</v>
      </c>
      <c r="H337" s="178">
        <f t="shared" si="40"/>
        <v>246.25562500000004</v>
      </c>
      <c r="I337" s="177">
        <f t="shared" si="41"/>
        <v>104.29650000000001</v>
      </c>
      <c r="J337" s="179">
        <f t="shared" si="42"/>
        <v>246.25562500000004</v>
      </c>
      <c r="L337" s="180"/>
      <c r="M337" s="181">
        <v>0</v>
      </c>
      <c r="N337" s="181">
        <v>97.02000000000001</v>
      </c>
    </row>
    <row r="338" spans="1:14" s="182" customFormat="1" ht="15" x14ac:dyDescent="0.4">
      <c r="A338" s="169">
        <f t="shared" si="44"/>
        <v>327</v>
      </c>
      <c r="B338" s="192"/>
      <c r="C338" s="235"/>
      <c r="D338" s="131"/>
      <c r="E338" s="237"/>
      <c r="F338" s="178">
        <f t="shared" ref="F338:F373" si="46">C338*E338</f>
        <v>0</v>
      </c>
      <c r="G338" s="237"/>
      <c r="H338" s="178">
        <f t="shared" ref="H338:H373" si="47">C338*G338</f>
        <v>0</v>
      </c>
      <c r="I338" s="177"/>
      <c r="J338" s="179"/>
      <c r="L338" s="180"/>
      <c r="M338" s="181"/>
      <c r="N338" s="181"/>
    </row>
    <row r="339" spans="1:14" s="182" customFormat="1" ht="15" x14ac:dyDescent="0.4">
      <c r="A339" s="169">
        <f t="shared" si="44"/>
        <v>328</v>
      </c>
      <c r="B339" s="192" t="s">
        <v>701</v>
      </c>
      <c r="C339" s="235"/>
      <c r="D339" s="131"/>
      <c r="E339" s="237"/>
      <c r="F339" s="178">
        <f t="shared" si="46"/>
        <v>0</v>
      </c>
      <c r="G339" s="237"/>
      <c r="H339" s="178">
        <f t="shared" si="47"/>
        <v>0</v>
      </c>
      <c r="I339" s="177"/>
      <c r="J339" s="179"/>
      <c r="L339" s="180"/>
      <c r="M339" s="181"/>
      <c r="N339" s="181"/>
    </row>
    <row r="340" spans="1:14" s="182" customFormat="1" ht="15" x14ac:dyDescent="0.4">
      <c r="A340" s="169">
        <f t="shared" si="44"/>
        <v>329</v>
      </c>
      <c r="B340" s="152" t="s">
        <v>702</v>
      </c>
      <c r="C340" s="235">
        <v>9</v>
      </c>
      <c r="D340" s="131" t="s">
        <v>290</v>
      </c>
      <c r="E340" s="237">
        <f t="shared" si="43"/>
        <v>733.19729999999993</v>
      </c>
      <c r="F340" s="178">
        <f t="shared" si="46"/>
        <v>6598.7756999999992</v>
      </c>
      <c r="G340" s="237">
        <f t="shared" si="45"/>
        <v>193.6935</v>
      </c>
      <c r="H340" s="178">
        <f t="shared" si="47"/>
        <v>1743.2415000000001</v>
      </c>
      <c r="I340" s="177">
        <f t="shared" ref="I340:I373" si="48">E340+G340</f>
        <v>926.8907999999999</v>
      </c>
      <c r="J340" s="179">
        <f t="shared" ref="J340:J373" si="49">I340*C340</f>
        <v>8342.0171999999984</v>
      </c>
      <c r="L340" s="180"/>
      <c r="M340" s="181">
        <v>682.04399999999998</v>
      </c>
      <c r="N340" s="181">
        <v>180.18</v>
      </c>
    </row>
    <row r="341" spans="1:14" s="182" customFormat="1" ht="15" x14ac:dyDescent="0.4">
      <c r="A341" s="169">
        <f t="shared" si="44"/>
        <v>330</v>
      </c>
      <c r="B341" s="152" t="s">
        <v>703</v>
      </c>
      <c r="C341" s="235">
        <v>20</v>
      </c>
      <c r="D341" s="131" t="s">
        <v>290</v>
      </c>
      <c r="E341" s="237">
        <f t="shared" si="43"/>
        <v>387</v>
      </c>
      <c r="F341" s="178">
        <f t="shared" si="46"/>
        <v>7740</v>
      </c>
      <c r="G341" s="237">
        <f t="shared" si="45"/>
        <v>238.39200000000002</v>
      </c>
      <c r="H341" s="178">
        <f t="shared" si="47"/>
        <v>4767.84</v>
      </c>
      <c r="I341" s="177">
        <f t="shared" si="48"/>
        <v>625.39200000000005</v>
      </c>
      <c r="J341" s="179">
        <f t="shared" si="49"/>
        <v>12507.84</v>
      </c>
      <c r="L341" s="180"/>
      <c r="M341" s="181">
        <v>360</v>
      </c>
      <c r="N341" s="181">
        <v>221.76000000000002</v>
      </c>
    </row>
    <row r="342" spans="1:14" s="182" customFormat="1" ht="15" x14ac:dyDescent="0.4">
      <c r="A342" s="169">
        <f t="shared" si="44"/>
        <v>331</v>
      </c>
      <c r="B342" s="152" t="s">
        <v>704</v>
      </c>
      <c r="C342" s="235">
        <v>2</v>
      </c>
      <c r="D342" s="131" t="s">
        <v>290</v>
      </c>
      <c r="E342" s="237">
        <f t="shared" si="43"/>
        <v>311.44470000000001</v>
      </c>
      <c r="F342" s="178">
        <f t="shared" si="46"/>
        <v>622.88940000000002</v>
      </c>
      <c r="G342" s="237">
        <f t="shared" si="45"/>
        <v>216.04274999999998</v>
      </c>
      <c r="H342" s="178">
        <f t="shared" si="47"/>
        <v>432.08549999999997</v>
      </c>
      <c r="I342" s="177">
        <f t="shared" si="48"/>
        <v>527.48744999999997</v>
      </c>
      <c r="J342" s="179">
        <f t="shared" si="49"/>
        <v>1054.9748999999999</v>
      </c>
      <c r="L342" s="180"/>
      <c r="M342" s="181">
        <v>289.71600000000001</v>
      </c>
      <c r="N342" s="181">
        <v>200.97</v>
      </c>
    </row>
    <row r="343" spans="1:14" s="182" customFormat="1" ht="15" x14ac:dyDescent="0.4">
      <c r="A343" s="169">
        <f t="shared" si="44"/>
        <v>332</v>
      </c>
      <c r="B343" s="152" t="s">
        <v>705</v>
      </c>
      <c r="C343" s="235">
        <v>26</v>
      </c>
      <c r="D343" s="131" t="s">
        <v>290</v>
      </c>
      <c r="E343" s="237">
        <f t="shared" si="43"/>
        <v>433.44</v>
      </c>
      <c r="F343" s="178">
        <f t="shared" si="46"/>
        <v>11269.44</v>
      </c>
      <c r="G343" s="237">
        <f t="shared" si="45"/>
        <v>201.14325000000002</v>
      </c>
      <c r="H343" s="178">
        <f t="shared" si="47"/>
        <v>5229.7245000000003</v>
      </c>
      <c r="I343" s="177">
        <f t="shared" si="48"/>
        <v>634.58325000000002</v>
      </c>
      <c r="J343" s="179">
        <f t="shared" si="49"/>
        <v>16499.164499999999</v>
      </c>
      <c r="L343" s="180"/>
      <c r="M343" s="181">
        <v>403.2</v>
      </c>
      <c r="N343" s="181">
        <v>187.11000000000004</v>
      </c>
    </row>
    <row r="344" spans="1:14" s="182" customFormat="1" ht="15" x14ac:dyDescent="0.4">
      <c r="A344" s="169">
        <f t="shared" si="44"/>
        <v>333</v>
      </c>
      <c r="B344" s="152" t="s">
        <v>706</v>
      </c>
      <c r="C344" s="235">
        <v>22</v>
      </c>
      <c r="D344" s="131" t="s">
        <v>290</v>
      </c>
      <c r="E344" s="237">
        <f t="shared" si="43"/>
        <v>477.29999999999995</v>
      </c>
      <c r="F344" s="178">
        <f t="shared" si="46"/>
        <v>10500.599999999999</v>
      </c>
      <c r="G344" s="237">
        <f t="shared" si="45"/>
        <v>201.14325000000002</v>
      </c>
      <c r="H344" s="178">
        <f t="shared" si="47"/>
        <v>4425.1515000000009</v>
      </c>
      <c r="I344" s="177">
        <f t="shared" si="48"/>
        <v>678.44325000000003</v>
      </c>
      <c r="J344" s="179">
        <f t="shared" si="49"/>
        <v>14925.7515</v>
      </c>
      <c r="L344" s="180"/>
      <c r="M344" s="181">
        <v>444</v>
      </c>
      <c r="N344" s="181">
        <v>187.11000000000004</v>
      </c>
    </row>
    <row r="345" spans="1:14" s="182" customFormat="1" ht="15" x14ac:dyDescent="0.4">
      <c r="A345" s="169">
        <f t="shared" si="44"/>
        <v>334</v>
      </c>
      <c r="B345" s="152" t="s">
        <v>707</v>
      </c>
      <c r="C345" s="235">
        <v>23</v>
      </c>
      <c r="D345" s="131" t="s">
        <v>290</v>
      </c>
      <c r="E345" s="237">
        <f t="shared" si="43"/>
        <v>4014.4799999999996</v>
      </c>
      <c r="F345" s="178">
        <f t="shared" si="46"/>
        <v>92333.04</v>
      </c>
      <c r="G345" s="237">
        <f t="shared" si="45"/>
        <v>893.97</v>
      </c>
      <c r="H345" s="178">
        <f t="shared" si="47"/>
        <v>20561.310000000001</v>
      </c>
      <c r="I345" s="177">
        <f t="shared" si="48"/>
        <v>4908.45</v>
      </c>
      <c r="J345" s="179">
        <f t="shared" si="49"/>
        <v>112894.34999999999</v>
      </c>
      <c r="L345" s="180"/>
      <c r="M345" s="181">
        <v>3734.3999999999996</v>
      </c>
      <c r="N345" s="181">
        <v>831.6</v>
      </c>
    </row>
    <row r="346" spans="1:14" s="182" customFormat="1" ht="15" x14ac:dyDescent="0.4">
      <c r="A346" s="169">
        <f t="shared" si="44"/>
        <v>335</v>
      </c>
      <c r="B346" s="152" t="s">
        <v>708</v>
      </c>
      <c r="C346" s="235">
        <v>20</v>
      </c>
      <c r="D346" s="131" t="s">
        <v>290</v>
      </c>
      <c r="E346" s="237">
        <f t="shared" si="43"/>
        <v>5476.05</v>
      </c>
      <c r="F346" s="178">
        <f t="shared" si="46"/>
        <v>109521</v>
      </c>
      <c r="G346" s="237">
        <f t="shared" si="45"/>
        <v>1042.9649999999999</v>
      </c>
      <c r="H346" s="178">
        <f t="shared" si="47"/>
        <v>20859.3</v>
      </c>
      <c r="I346" s="177">
        <f t="shared" si="48"/>
        <v>6519.0150000000003</v>
      </c>
      <c r="J346" s="179">
        <f t="shared" si="49"/>
        <v>130380.3</v>
      </c>
      <c r="L346" s="180"/>
      <c r="M346" s="181">
        <v>5094</v>
      </c>
      <c r="N346" s="181">
        <v>970.2</v>
      </c>
    </row>
    <row r="347" spans="1:14" s="182" customFormat="1" ht="15" x14ac:dyDescent="0.4">
      <c r="A347" s="169">
        <f t="shared" si="44"/>
        <v>336</v>
      </c>
      <c r="B347" s="152" t="s">
        <v>709</v>
      </c>
      <c r="C347" s="235">
        <v>3</v>
      </c>
      <c r="D347" s="131" t="s">
        <v>290</v>
      </c>
      <c r="E347" s="237">
        <f t="shared" ref="E347:E410" si="50">M347*$M$8</f>
        <v>5476.05</v>
      </c>
      <c r="F347" s="178">
        <f t="shared" si="46"/>
        <v>16428.150000000001</v>
      </c>
      <c r="G347" s="237">
        <f t="shared" si="45"/>
        <v>1042.9649999999999</v>
      </c>
      <c r="H347" s="178">
        <f t="shared" si="47"/>
        <v>3128.8949999999995</v>
      </c>
      <c r="I347" s="177">
        <f t="shared" si="48"/>
        <v>6519.0150000000003</v>
      </c>
      <c r="J347" s="179">
        <f t="shared" si="49"/>
        <v>19557.045000000002</v>
      </c>
      <c r="L347" s="180"/>
      <c r="M347" s="181">
        <v>5094</v>
      </c>
      <c r="N347" s="181">
        <v>970.2</v>
      </c>
    </row>
    <row r="348" spans="1:14" s="182" customFormat="1" ht="15" x14ac:dyDescent="0.4">
      <c r="A348" s="169">
        <f t="shared" si="44"/>
        <v>337</v>
      </c>
      <c r="B348" s="152" t="s">
        <v>710</v>
      </c>
      <c r="C348" s="235">
        <v>5</v>
      </c>
      <c r="D348" s="131" t="s">
        <v>290</v>
      </c>
      <c r="E348" s="237">
        <f t="shared" si="50"/>
        <v>2634.18</v>
      </c>
      <c r="F348" s="178">
        <f t="shared" si="46"/>
        <v>13170.9</v>
      </c>
      <c r="G348" s="237">
        <f t="shared" si="45"/>
        <v>595.98</v>
      </c>
      <c r="H348" s="178">
        <f t="shared" si="47"/>
        <v>2979.9</v>
      </c>
      <c r="I348" s="177">
        <f t="shared" si="48"/>
        <v>3230.16</v>
      </c>
      <c r="J348" s="179">
        <f t="shared" si="49"/>
        <v>16150.8</v>
      </c>
      <c r="L348" s="180"/>
      <c r="M348" s="181">
        <v>2450.4</v>
      </c>
      <c r="N348" s="181">
        <v>554.40000000000009</v>
      </c>
    </row>
    <row r="349" spans="1:14" s="182" customFormat="1" ht="15" x14ac:dyDescent="0.4">
      <c r="A349" s="169">
        <f t="shared" si="44"/>
        <v>338</v>
      </c>
      <c r="B349" s="152" t="s">
        <v>711</v>
      </c>
      <c r="C349" s="235">
        <v>188</v>
      </c>
      <c r="D349" s="131" t="s">
        <v>712</v>
      </c>
      <c r="E349" s="237">
        <f t="shared" si="50"/>
        <v>122.55</v>
      </c>
      <c r="F349" s="178">
        <f t="shared" si="46"/>
        <v>23039.399999999998</v>
      </c>
      <c r="G349" s="237">
        <f t="shared" si="45"/>
        <v>67.047750000000008</v>
      </c>
      <c r="H349" s="178">
        <f t="shared" si="47"/>
        <v>12604.977000000001</v>
      </c>
      <c r="I349" s="177">
        <f t="shared" si="48"/>
        <v>189.59775000000002</v>
      </c>
      <c r="J349" s="179">
        <f t="shared" si="49"/>
        <v>35644.377</v>
      </c>
      <c r="L349" s="180"/>
      <c r="M349" s="181">
        <v>114</v>
      </c>
      <c r="N349" s="181">
        <v>62.370000000000005</v>
      </c>
    </row>
    <row r="350" spans="1:14" s="182" customFormat="1" ht="15" x14ac:dyDescent="0.4">
      <c r="A350" s="169">
        <f t="shared" si="44"/>
        <v>339</v>
      </c>
      <c r="B350" s="152" t="s">
        <v>713</v>
      </c>
      <c r="C350" s="235">
        <v>16</v>
      </c>
      <c r="D350" s="131" t="s">
        <v>300</v>
      </c>
      <c r="E350" s="237">
        <f t="shared" si="50"/>
        <v>196.07999999999998</v>
      </c>
      <c r="F350" s="178">
        <f t="shared" si="46"/>
        <v>3137.2799999999997</v>
      </c>
      <c r="G350" s="237">
        <f t="shared" si="45"/>
        <v>52.148250000000004</v>
      </c>
      <c r="H350" s="178">
        <f t="shared" si="47"/>
        <v>834.37200000000007</v>
      </c>
      <c r="I350" s="177">
        <f t="shared" si="48"/>
        <v>248.22825</v>
      </c>
      <c r="J350" s="179">
        <f t="shared" si="49"/>
        <v>3971.652</v>
      </c>
      <c r="L350" s="180"/>
      <c r="M350" s="181">
        <v>182.4</v>
      </c>
      <c r="N350" s="181">
        <v>48.510000000000005</v>
      </c>
    </row>
    <row r="351" spans="1:14" s="182" customFormat="1" ht="15" x14ac:dyDescent="0.4">
      <c r="A351" s="169">
        <f t="shared" ref="A351:A414" si="51">ROW()-11</f>
        <v>340</v>
      </c>
      <c r="B351" s="152" t="s">
        <v>714</v>
      </c>
      <c r="C351" s="235">
        <v>16</v>
      </c>
      <c r="D351" s="131" t="s">
        <v>300</v>
      </c>
      <c r="E351" s="237">
        <f t="shared" si="50"/>
        <v>206.39999999999998</v>
      </c>
      <c r="F351" s="178">
        <f t="shared" si="46"/>
        <v>3302.3999999999996</v>
      </c>
      <c r="G351" s="237">
        <f t="shared" si="45"/>
        <v>52.148250000000004</v>
      </c>
      <c r="H351" s="178">
        <f t="shared" si="47"/>
        <v>834.37200000000007</v>
      </c>
      <c r="I351" s="177">
        <f t="shared" si="48"/>
        <v>258.54825</v>
      </c>
      <c r="J351" s="179">
        <f t="shared" si="49"/>
        <v>4136.7719999999999</v>
      </c>
      <c r="L351" s="180"/>
      <c r="M351" s="181">
        <v>192</v>
      </c>
      <c r="N351" s="181">
        <v>48.510000000000005</v>
      </c>
    </row>
    <row r="352" spans="1:14" s="182" customFormat="1" ht="15" x14ac:dyDescent="0.4">
      <c r="A352" s="169">
        <f t="shared" si="51"/>
        <v>341</v>
      </c>
      <c r="B352" s="152" t="s">
        <v>715</v>
      </c>
      <c r="C352" s="235">
        <v>8</v>
      </c>
      <c r="D352" s="131" t="s">
        <v>290</v>
      </c>
      <c r="E352" s="237">
        <f t="shared" si="50"/>
        <v>1030.7099999999998</v>
      </c>
      <c r="F352" s="178">
        <f t="shared" si="46"/>
        <v>8245.6799999999985</v>
      </c>
      <c r="G352" s="237">
        <f t="shared" si="45"/>
        <v>372.48750000000001</v>
      </c>
      <c r="H352" s="178">
        <f t="shared" si="47"/>
        <v>2979.9</v>
      </c>
      <c r="I352" s="177">
        <f t="shared" si="48"/>
        <v>1403.1974999999998</v>
      </c>
      <c r="J352" s="179">
        <f t="shared" si="49"/>
        <v>11225.579999999998</v>
      </c>
      <c r="L352" s="180"/>
      <c r="M352" s="181">
        <v>958.8</v>
      </c>
      <c r="N352" s="181">
        <v>346.5</v>
      </c>
    </row>
    <row r="353" spans="1:14" s="182" customFormat="1" ht="15" x14ac:dyDescent="0.4">
      <c r="A353" s="169">
        <f t="shared" si="51"/>
        <v>342</v>
      </c>
      <c r="B353" s="152" t="s">
        <v>716</v>
      </c>
      <c r="C353" s="235">
        <v>8</v>
      </c>
      <c r="D353" s="131" t="s">
        <v>290</v>
      </c>
      <c r="E353" s="237">
        <f t="shared" si="50"/>
        <v>1030.7099999999998</v>
      </c>
      <c r="F353" s="178">
        <f t="shared" si="46"/>
        <v>8245.6799999999985</v>
      </c>
      <c r="G353" s="237">
        <f t="shared" si="45"/>
        <v>372.48750000000001</v>
      </c>
      <c r="H353" s="178">
        <f t="shared" si="47"/>
        <v>2979.9</v>
      </c>
      <c r="I353" s="177">
        <f t="shared" si="48"/>
        <v>1403.1974999999998</v>
      </c>
      <c r="J353" s="179">
        <f t="shared" si="49"/>
        <v>11225.579999999998</v>
      </c>
      <c r="L353" s="180"/>
      <c r="M353" s="181">
        <v>958.8</v>
      </c>
      <c r="N353" s="181">
        <v>346.5</v>
      </c>
    </row>
    <row r="354" spans="1:14" s="182" customFormat="1" ht="15" x14ac:dyDescent="0.4">
      <c r="A354" s="169">
        <f t="shared" si="51"/>
        <v>343</v>
      </c>
      <c r="B354" s="152" t="s">
        <v>717</v>
      </c>
      <c r="C354" s="235">
        <v>13</v>
      </c>
      <c r="D354" s="131" t="s">
        <v>290</v>
      </c>
      <c r="E354" s="237">
        <f t="shared" si="50"/>
        <v>548.25</v>
      </c>
      <c r="F354" s="178">
        <f t="shared" si="46"/>
        <v>7127.25</v>
      </c>
      <c r="G354" s="237">
        <f t="shared" si="45"/>
        <v>297.99</v>
      </c>
      <c r="H354" s="178">
        <f t="shared" si="47"/>
        <v>3873.87</v>
      </c>
      <c r="I354" s="177">
        <f t="shared" si="48"/>
        <v>846.24</v>
      </c>
      <c r="J354" s="179">
        <f t="shared" si="49"/>
        <v>11001.12</v>
      </c>
      <c r="L354" s="180"/>
      <c r="M354" s="181">
        <v>510</v>
      </c>
      <c r="N354" s="181">
        <v>277.20000000000005</v>
      </c>
    </row>
    <row r="355" spans="1:14" s="182" customFormat="1" ht="15" x14ac:dyDescent="0.4">
      <c r="A355" s="169">
        <f t="shared" si="51"/>
        <v>344</v>
      </c>
      <c r="B355" s="152" t="s">
        <v>718</v>
      </c>
      <c r="C355" s="235">
        <v>1</v>
      </c>
      <c r="D355" s="131" t="s">
        <v>290</v>
      </c>
      <c r="E355" s="237">
        <f t="shared" si="50"/>
        <v>1007.4899999999999</v>
      </c>
      <c r="F355" s="178">
        <f t="shared" si="46"/>
        <v>1007.4899999999999</v>
      </c>
      <c r="G355" s="237">
        <f t="shared" si="45"/>
        <v>223.49250000000001</v>
      </c>
      <c r="H355" s="178">
        <f t="shared" si="47"/>
        <v>223.49250000000001</v>
      </c>
      <c r="I355" s="177">
        <f t="shared" si="48"/>
        <v>1230.9824999999998</v>
      </c>
      <c r="J355" s="179">
        <f t="shared" si="49"/>
        <v>1230.9824999999998</v>
      </c>
      <c r="L355" s="180"/>
      <c r="M355" s="181">
        <v>937.19999999999993</v>
      </c>
      <c r="N355" s="181">
        <v>207.9</v>
      </c>
    </row>
    <row r="356" spans="1:14" s="182" customFormat="1" ht="15" x14ac:dyDescent="0.4">
      <c r="A356" s="169">
        <f t="shared" si="51"/>
        <v>345</v>
      </c>
      <c r="B356" s="152" t="s">
        <v>719</v>
      </c>
      <c r="C356" s="235">
        <v>3359</v>
      </c>
      <c r="D356" s="131" t="s">
        <v>300</v>
      </c>
      <c r="E356" s="237">
        <f t="shared" si="50"/>
        <v>0.58746599999999993</v>
      </c>
      <c r="F356" s="178">
        <f t="shared" si="46"/>
        <v>1973.2982939999997</v>
      </c>
      <c r="G356" s="237">
        <f t="shared" si="45"/>
        <v>10.966032</v>
      </c>
      <c r="H356" s="178">
        <f t="shared" si="47"/>
        <v>36834.901488000003</v>
      </c>
      <c r="I356" s="177">
        <f t="shared" si="48"/>
        <v>11.553497999999999</v>
      </c>
      <c r="J356" s="179">
        <f t="shared" si="49"/>
        <v>38808.199781999996</v>
      </c>
      <c r="L356" s="180"/>
      <c r="M356" s="181">
        <v>0.54647999999999997</v>
      </c>
      <c r="N356" s="181">
        <v>10.20096</v>
      </c>
    </row>
    <row r="357" spans="1:14" s="182" customFormat="1" ht="15" x14ac:dyDescent="0.4">
      <c r="A357" s="169">
        <f t="shared" si="51"/>
        <v>346</v>
      </c>
      <c r="B357" s="152" t="s">
        <v>689</v>
      </c>
      <c r="C357" s="235">
        <v>104</v>
      </c>
      <c r="D357" s="131" t="s">
        <v>300</v>
      </c>
      <c r="E357" s="237">
        <f t="shared" si="50"/>
        <v>1.2353040000000002</v>
      </c>
      <c r="F357" s="178">
        <f t="shared" si="46"/>
        <v>128.47161600000001</v>
      </c>
      <c r="G357" s="237">
        <f t="shared" si="45"/>
        <v>15.249638249999999</v>
      </c>
      <c r="H357" s="178">
        <f t="shared" si="47"/>
        <v>1585.9623779999999</v>
      </c>
      <c r="I357" s="177">
        <f t="shared" si="48"/>
        <v>16.48494225</v>
      </c>
      <c r="J357" s="179">
        <f t="shared" si="49"/>
        <v>1714.433994</v>
      </c>
      <c r="L357" s="180"/>
      <c r="M357" s="181">
        <v>1.1491200000000001</v>
      </c>
      <c r="N357" s="181">
        <v>14.185709999999998</v>
      </c>
    </row>
    <row r="358" spans="1:14" s="182" customFormat="1" ht="15" x14ac:dyDescent="0.4">
      <c r="A358" s="169">
        <f t="shared" si="51"/>
        <v>347</v>
      </c>
      <c r="B358" s="152" t="s">
        <v>720</v>
      </c>
      <c r="C358" s="235">
        <v>1010</v>
      </c>
      <c r="D358" s="131" t="s">
        <v>300</v>
      </c>
      <c r="E358" s="237">
        <f t="shared" si="50"/>
        <v>4.2064964999999992</v>
      </c>
      <c r="F358" s="178">
        <f t="shared" si="46"/>
        <v>4248.5614649999989</v>
      </c>
      <c r="G358" s="237">
        <f t="shared" si="45"/>
        <v>21.075342750000001</v>
      </c>
      <c r="H358" s="178">
        <f t="shared" si="47"/>
        <v>21286.0961775</v>
      </c>
      <c r="I358" s="177">
        <f t="shared" si="48"/>
        <v>25.281839250000001</v>
      </c>
      <c r="J358" s="179">
        <f t="shared" si="49"/>
        <v>25534.657642500002</v>
      </c>
      <c r="L358" s="180"/>
      <c r="M358" s="181">
        <v>3.9130199999999995</v>
      </c>
      <c r="N358" s="181">
        <v>19.604970000000002</v>
      </c>
    </row>
    <row r="359" spans="1:14" s="182" customFormat="1" ht="15" x14ac:dyDescent="0.4">
      <c r="A359" s="169">
        <f t="shared" si="51"/>
        <v>348</v>
      </c>
      <c r="B359" s="152" t="s">
        <v>721</v>
      </c>
      <c r="C359" s="235">
        <v>142</v>
      </c>
      <c r="D359" s="131" t="s">
        <v>300</v>
      </c>
      <c r="E359" s="237">
        <f t="shared" si="50"/>
        <v>3.2277734999999996</v>
      </c>
      <c r="F359" s="178">
        <f t="shared" si="46"/>
        <v>458.34383699999995</v>
      </c>
      <c r="G359" s="237">
        <f t="shared" si="45"/>
        <v>17.134425</v>
      </c>
      <c r="H359" s="178">
        <f t="shared" si="47"/>
        <v>2433.08835</v>
      </c>
      <c r="I359" s="177">
        <f t="shared" si="48"/>
        <v>20.362198499999998</v>
      </c>
      <c r="J359" s="179">
        <f t="shared" si="49"/>
        <v>2891.4321869999999</v>
      </c>
      <c r="L359" s="180"/>
      <c r="M359" s="181">
        <v>3.0025799999999996</v>
      </c>
      <c r="N359" s="181">
        <v>15.939</v>
      </c>
    </row>
    <row r="360" spans="1:14" s="182" customFormat="1" ht="15" x14ac:dyDescent="0.4">
      <c r="A360" s="169">
        <f t="shared" si="51"/>
        <v>349</v>
      </c>
      <c r="B360" s="152" t="s">
        <v>722</v>
      </c>
      <c r="C360" s="235">
        <v>428</v>
      </c>
      <c r="D360" s="131" t="s">
        <v>300</v>
      </c>
      <c r="E360" s="237">
        <f t="shared" si="50"/>
        <v>1.3622400000000001</v>
      </c>
      <c r="F360" s="178">
        <f t="shared" si="46"/>
        <v>583.03872000000001</v>
      </c>
      <c r="G360" s="237">
        <f t="shared" si="45"/>
        <v>11.994097500000001</v>
      </c>
      <c r="H360" s="178">
        <f t="shared" si="47"/>
        <v>5133.4737300000006</v>
      </c>
      <c r="I360" s="177">
        <f t="shared" si="48"/>
        <v>13.3563375</v>
      </c>
      <c r="J360" s="179">
        <f t="shared" si="49"/>
        <v>5716.5124500000002</v>
      </c>
      <c r="L360" s="180"/>
      <c r="M360" s="181">
        <v>1.2672000000000001</v>
      </c>
      <c r="N360" s="181">
        <v>11.157300000000001</v>
      </c>
    </row>
    <row r="361" spans="1:14" s="182" customFormat="1" ht="15" x14ac:dyDescent="0.4">
      <c r="A361" s="169">
        <f t="shared" si="51"/>
        <v>350</v>
      </c>
      <c r="B361" s="152" t="s">
        <v>432</v>
      </c>
      <c r="C361" s="235">
        <v>8732</v>
      </c>
      <c r="D361" s="131" t="s">
        <v>300</v>
      </c>
      <c r="E361" s="237">
        <f t="shared" si="50"/>
        <v>0.40015799999999996</v>
      </c>
      <c r="F361" s="178">
        <f t="shared" si="46"/>
        <v>3494.1796559999998</v>
      </c>
      <c r="G361" s="237">
        <f t="shared" si="45"/>
        <v>1.7134425</v>
      </c>
      <c r="H361" s="178">
        <f t="shared" si="47"/>
        <v>14961.779909999999</v>
      </c>
      <c r="I361" s="177">
        <f t="shared" si="48"/>
        <v>2.1136005</v>
      </c>
      <c r="J361" s="179">
        <f t="shared" si="49"/>
        <v>18455.959566000001</v>
      </c>
      <c r="L361" s="180"/>
      <c r="M361" s="181">
        <v>0.37223999999999996</v>
      </c>
      <c r="N361" s="181">
        <v>1.5939000000000001</v>
      </c>
    </row>
    <row r="362" spans="1:14" s="182" customFormat="1" ht="15" x14ac:dyDescent="0.4">
      <c r="A362" s="169">
        <f t="shared" si="51"/>
        <v>351</v>
      </c>
      <c r="B362" s="152" t="s">
        <v>423</v>
      </c>
      <c r="C362" s="235">
        <v>8194</v>
      </c>
      <c r="D362" s="131" t="s">
        <v>300</v>
      </c>
      <c r="E362" s="237">
        <f t="shared" si="50"/>
        <v>0.24509999999999996</v>
      </c>
      <c r="F362" s="178">
        <f t="shared" si="46"/>
        <v>2008.3493999999996</v>
      </c>
      <c r="G362" s="237">
        <f t="shared" si="45"/>
        <v>1.3409550000000001</v>
      </c>
      <c r="H362" s="178">
        <f t="shared" si="47"/>
        <v>10987.78527</v>
      </c>
      <c r="I362" s="177">
        <f t="shared" si="48"/>
        <v>1.586055</v>
      </c>
      <c r="J362" s="179">
        <f t="shared" si="49"/>
        <v>12996.134669999999</v>
      </c>
      <c r="L362" s="180"/>
      <c r="M362" s="181">
        <v>0.22799999999999998</v>
      </c>
      <c r="N362" s="181">
        <v>1.2474000000000001</v>
      </c>
    </row>
    <row r="363" spans="1:14" s="182" customFormat="1" ht="15" x14ac:dyDescent="0.4">
      <c r="A363" s="169">
        <f t="shared" si="51"/>
        <v>352</v>
      </c>
      <c r="B363" s="152" t="s">
        <v>676</v>
      </c>
      <c r="C363" s="235">
        <v>20.521481481481487</v>
      </c>
      <c r="D363" s="131" t="s">
        <v>292</v>
      </c>
      <c r="E363" s="237">
        <f t="shared" si="50"/>
        <v>193.5</v>
      </c>
      <c r="F363" s="178">
        <f t="shared" si="46"/>
        <v>3970.9066666666677</v>
      </c>
      <c r="G363" s="237">
        <f t="shared" si="45"/>
        <v>372.48750000000001</v>
      </c>
      <c r="H363" s="178">
        <f t="shared" si="47"/>
        <v>7643.995333333336</v>
      </c>
      <c r="I363" s="177">
        <f t="shared" si="48"/>
        <v>565.98749999999995</v>
      </c>
      <c r="J363" s="179">
        <f t="shared" si="49"/>
        <v>11614.902000000002</v>
      </c>
      <c r="L363" s="180"/>
      <c r="M363" s="181">
        <v>180</v>
      </c>
      <c r="N363" s="181">
        <v>346.5</v>
      </c>
    </row>
    <row r="364" spans="1:14" s="182" customFormat="1" ht="15" x14ac:dyDescent="0.4">
      <c r="A364" s="169">
        <f t="shared" si="51"/>
        <v>353</v>
      </c>
      <c r="B364" s="152" t="s">
        <v>677</v>
      </c>
      <c r="C364" s="235">
        <v>61.564444444444462</v>
      </c>
      <c r="D364" s="131" t="s">
        <v>292</v>
      </c>
      <c r="E364" s="237"/>
      <c r="F364" s="178">
        <f t="shared" si="46"/>
        <v>0</v>
      </c>
      <c r="G364" s="237">
        <f t="shared" si="45"/>
        <v>104.29650000000001</v>
      </c>
      <c r="H364" s="178">
        <f t="shared" si="47"/>
        <v>6420.9560800000027</v>
      </c>
      <c r="I364" s="177">
        <f t="shared" si="48"/>
        <v>104.29650000000001</v>
      </c>
      <c r="J364" s="179">
        <f t="shared" si="49"/>
        <v>6420.9560800000027</v>
      </c>
      <c r="L364" s="180"/>
      <c r="M364" s="181">
        <v>0</v>
      </c>
      <c r="N364" s="181">
        <v>97.02000000000001</v>
      </c>
    </row>
    <row r="365" spans="1:14" s="182" customFormat="1" ht="15" x14ac:dyDescent="0.4">
      <c r="A365" s="169">
        <f t="shared" si="51"/>
        <v>354</v>
      </c>
      <c r="B365" s="192"/>
      <c r="C365" s="235"/>
      <c r="D365" s="131"/>
      <c r="E365" s="237"/>
      <c r="F365" s="178">
        <f t="shared" si="46"/>
        <v>0</v>
      </c>
      <c r="G365" s="237"/>
      <c r="H365" s="178">
        <f t="shared" si="47"/>
        <v>0</v>
      </c>
      <c r="I365" s="177"/>
      <c r="J365" s="179"/>
      <c r="L365" s="180"/>
      <c r="M365" s="181"/>
      <c r="N365" s="181"/>
    </row>
    <row r="366" spans="1:14" s="182" customFormat="1" ht="15" x14ac:dyDescent="0.4">
      <c r="A366" s="169">
        <f t="shared" si="51"/>
        <v>355</v>
      </c>
      <c r="B366" s="192" t="s">
        <v>723</v>
      </c>
      <c r="C366" s="235"/>
      <c r="D366" s="131"/>
      <c r="E366" s="237"/>
      <c r="F366" s="178">
        <f t="shared" si="46"/>
        <v>0</v>
      </c>
      <c r="G366" s="237"/>
      <c r="H366" s="178">
        <f t="shared" si="47"/>
        <v>0</v>
      </c>
      <c r="I366" s="177"/>
      <c r="J366" s="179"/>
      <c r="L366" s="180"/>
      <c r="M366" s="181"/>
      <c r="N366" s="181"/>
    </row>
    <row r="367" spans="1:14" s="182" customFormat="1" ht="15" x14ac:dyDescent="0.4">
      <c r="A367" s="169">
        <f t="shared" si="51"/>
        <v>356</v>
      </c>
      <c r="B367" s="152" t="s">
        <v>724</v>
      </c>
      <c r="C367" s="235">
        <v>60</v>
      </c>
      <c r="D367" s="131" t="s">
        <v>290</v>
      </c>
      <c r="E367" s="237">
        <f t="shared" si="50"/>
        <v>174.15</v>
      </c>
      <c r="F367" s="178">
        <f t="shared" si="46"/>
        <v>10449</v>
      </c>
      <c r="G367" s="237">
        <f t="shared" si="45"/>
        <v>148.995</v>
      </c>
      <c r="H367" s="178">
        <f t="shared" si="47"/>
        <v>8939.7000000000007</v>
      </c>
      <c r="I367" s="177">
        <f t="shared" si="48"/>
        <v>323.14499999999998</v>
      </c>
      <c r="J367" s="179">
        <f t="shared" si="49"/>
        <v>19388.699999999997</v>
      </c>
      <c r="L367" s="180"/>
      <c r="M367" s="181">
        <v>162</v>
      </c>
      <c r="N367" s="181">
        <v>138.60000000000002</v>
      </c>
    </row>
    <row r="368" spans="1:14" s="182" customFormat="1" ht="15" x14ac:dyDescent="0.4">
      <c r="A368" s="169">
        <f t="shared" si="51"/>
        <v>357</v>
      </c>
      <c r="B368" s="192"/>
      <c r="C368" s="235"/>
      <c r="D368" s="131"/>
      <c r="E368" s="237"/>
      <c r="F368" s="178">
        <f t="shared" si="46"/>
        <v>0</v>
      </c>
      <c r="G368" s="237"/>
      <c r="H368" s="178">
        <f t="shared" si="47"/>
        <v>0</v>
      </c>
      <c r="I368" s="177"/>
      <c r="J368" s="179"/>
      <c r="L368" s="180"/>
      <c r="M368" s="181"/>
      <c r="N368" s="181"/>
    </row>
    <row r="369" spans="1:16" s="182" customFormat="1" ht="15" x14ac:dyDescent="0.4">
      <c r="A369" s="169">
        <f t="shared" si="51"/>
        <v>358</v>
      </c>
      <c r="B369" s="192" t="s">
        <v>725</v>
      </c>
      <c r="C369" s="235"/>
      <c r="D369" s="131"/>
      <c r="E369" s="237"/>
      <c r="F369" s="178">
        <f t="shared" si="46"/>
        <v>0</v>
      </c>
      <c r="G369" s="237"/>
      <c r="H369" s="178">
        <f t="shared" si="47"/>
        <v>0</v>
      </c>
      <c r="I369" s="177"/>
      <c r="J369" s="179"/>
      <c r="L369" s="180"/>
      <c r="M369" s="181"/>
      <c r="N369" s="181"/>
    </row>
    <row r="370" spans="1:16" s="182" customFormat="1" ht="15" x14ac:dyDescent="0.4">
      <c r="A370" s="169">
        <f t="shared" si="51"/>
        <v>359</v>
      </c>
      <c r="B370" s="152" t="s">
        <v>719</v>
      </c>
      <c r="C370" s="235">
        <v>97</v>
      </c>
      <c r="D370" s="131" t="s">
        <v>300</v>
      </c>
      <c r="E370" s="237">
        <f t="shared" si="50"/>
        <v>0.58746599999999993</v>
      </c>
      <c r="F370" s="178">
        <f t="shared" si="46"/>
        <v>56.984201999999996</v>
      </c>
      <c r="G370" s="237">
        <f t="shared" si="45"/>
        <v>10.966032</v>
      </c>
      <c r="H370" s="178">
        <f t="shared" si="47"/>
        <v>1063.7051040000001</v>
      </c>
      <c r="I370" s="177">
        <f t="shared" si="48"/>
        <v>11.553497999999999</v>
      </c>
      <c r="J370" s="179">
        <f t="shared" si="49"/>
        <v>1120.689306</v>
      </c>
      <c r="L370" s="180"/>
      <c r="M370" s="181">
        <v>0.54647999999999997</v>
      </c>
      <c r="N370" s="181">
        <v>10.20096</v>
      </c>
    </row>
    <row r="371" spans="1:16" s="182" customFormat="1" ht="15" x14ac:dyDescent="0.4">
      <c r="A371" s="169">
        <f t="shared" si="51"/>
        <v>360</v>
      </c>
      <c r="B371" s="152" t="s">
        <v>421</v>
      </c>
      <c r="C371" s="235">
        <v>388</v>
      </c>
      <c r="D371" s="131" t="s">
        <v>300</v>
      </c>
      <c r="E371" s="237">
        <f t="shared" si="50"/>
        <v>0.1419</v>
      </c>
      <c r="F371" s="178">
        <f t="shared" si="46"/>
        <v>55.057200000000002</v>
      </c>
      <c r="G371" s="237">
        <f t="shared" si="45"/>
        <v>1.0429649999999999</v>
      </c>
      <c r="H371" s="178">
        <f t="shared" si="47"/>
        <v>404.67041999999998</v>
      </c>
      <c r="I371" s="177">
        <f t="shared" si="48"/>
        <v>1.1848649999999998</v>
      </c>
      <c r="J371" s="179">
        <f t="shared" si="49"/>
        <v>459.72761999999994</v>
      </c>
      <c r="L371" s="180"/>
      <c r="M371" s="181">
        <v>0.13200000000000001</v>
      </c>
      <c r="N371" s="181">
        <v>0.97020000000000006</v>
      </c>
    </row>
    <row r="372" spans="1:16" s="182" customFormat="1" ht="15" x14ac:dyDescent="0.4">
      <c r="A372" s="169">
        <f t="shared" si="51"/>
        <v>361</v>
      </c>
      <c r="B372" s="152" t="s">
        <v>676</v>
      </c>
      <c r="C372" s="235">
        <v>0.89814814814814814</v>
      </c>
      <c r="D372" s="131" t="s">
        <v>292</v>
      </c>
      <c r="E372" s="237">
        <f t="shared" si="50"/>
        <v>193.5</v>
      </c>
      <c r="F372" s="178">
        <f t="shared" si="46"/>
        <v>173.79166666666666</v>
      </c>
      <c r="G372" s="237">
        <f t="shared" si="45"/>
        <v>372.48750000000001</v>
      </c>
      <c r="H372" s="178">
        <f t="shared" si="47"/>
        <v>334.54895833333336</v>
      </c>
      <c r="I372" s="177">
        <f t="shared" si="48"/>
        <v>565.98749999999995</v>
      </c>
      <c r="J372" s="179">
        <f t="shared" si="49"/>
        <v>508.34062499999993</v>
      </c>
      <c r="L372" s="180"/>
      <c r="M372" s="181">
        <v>180</v>
      </c>
      <c r="N372" s="181">
        <v>346.5</v>
      </c>
    </row>
    <row r="373" spans="1:16" s="182" customFormat="1" ht="15" x14ac:dyDescent="0.4">
      <c r="A373" s="169">
        <f t="shared" si="51"/>
        <v>362</v>
      </c>
      <c r="B373" s="152" t="s">
        <v>677</v>
      </c>
      <c r="C373" s="235">
        <v>2.6944444444444446</v>
      </c>
      <c r="D373" s="131" t="s">
        <v>292</v>
      </c>
      <c r="E373" s="237"/>
      <c r="F373" s="178">
        <f t="shared" si="46"/>
        <v>0</v>
      </c>
      <c r="G373" s="237">
        <f t="shared" si="45"/>
        <v>104.29650000000001</v>
      </c>
      <c r="H373" s="178">
        <f t="shared" si="47"/>
        <v>281.02112500000004</v>
      </c>
      <c r="I373" s="177">
        <f t="shared" si="48"/>
        <v>104.29650000000001</v>
      </c>
      <c r="J373" s="179">
        <f t="shared" si="49"/>
        <v>281.02112500000004</v>
      </c>
      <c r="L373" s="180"/>
      <c r="M373" s="181">
        <v>0</v>
      </c>
      <c r="N373" s="181">
        <v>97.02000000000001</v>
      </c>
    </row>
    <row r="374" spans="1:16" x14ac:dyDescent="0.35">
      <c r="A374" s="169">
        <f t="shared" si="51"/>
        <v>363</v>
      </c>
      <c r="B374" s="9"/>
      <c r="C374" s="11"/>
      <c r="D374" s="10"/>
      <c r="E374" s="17"/>
      <c r="F374" s="20" t="s">
        <v>6</v>
      </c>
      <c r="G374" s="17">
        <f t="shared" si="45"/>
        <v>0</v>
      </c>
      <c r="H374" s="20" t="s">
        <v>6</v>
      </c>
      <c r="I374" s="73"/>
      <c r="J374" s="20" t="s">
        <v>6</v>
      </c>
      <c r="M374" s="181">
        <v>0</v>
      </c>
      <c r="N374" s="181">
        <v>0</v>
      </c>
    </row>
    <row r="375" spans="1:16" x14ac:dyDescent="0.35">
      <c r="A375" s="169">
        <f t="shared" si="51"/>
        <v>364</v>
      </c>
      <c r="B375" s="13" t="str">
        <f>"Subtotal " &amp; B271</f>
        <v>Subtotal 02-00-08 Utilities- Electrical</v>
      </c>
      <c r="C375" s="11"/>
      <c r="D375" s="10"/>
      <c r="E375" s="17"/>
      <c r="F375" s="15">
        <f>SUM(F271:F374)</f>
        <v>519224.4381390668</v>
      </c>
      <c r="G375" s="17">
        <f t="shared" si="45"/>
        <v>0</v>
      </c>
      <c r="H375" s="15">
        <f>SUM(H271:H374)</f>
        <v>537019.30559465569</v>
      </c>
      <c r="I375" s="73"/>
      <c r="J375" s="15">
        <f>SUM(J271:J374)</f>
        <v>1056243.7437337227</v>
      </c>
      <c r="M375" s="181">
        <v>0</v>
      </c>
      <c r="N375" s="181">
        <v>0</v>
      </c>
    </row>
    <row r="376" spans="1:16" x14ac:dyDescent="0.35">
      <c r="A376" s="169">
        <f t="shared" si="51"/>
        <v>365</v>
      </c>
      <c r="B376" s="13"/>
      <c r="C376" s="11"/>
      <c r="D376" s="10"/>
      <c r="E376" s="17"/>
      <c r="F376" s="15"/>
      <c r="G376" s="17">
        <f t="shared" si="45"/>
        <v>0</v>
      </c>
      <c r="H376" s="15"/>
      <c r="I376" s="73"/>
      <c r="J376" s="15"/>
      <c r="M376" s="181">
        <v>0</v>
      </c>
      <c r="N376" s="181">
        <v>0</v>
      </c>
    </row>
    <row r="377" spans="1:16" x14ac:dyDescent="0.35">
      <c r="A377" s="169">
        <f t="shared" si="51"/>
        <v>366</v>
      </c>
      <c r="B377" s="62" t="s">
        <v>726</v>
      </c>
      <c r="C377" s="65"/>
      <c r="D377" s="63"/>
      <c r="E377" s="64"/>
      <c r="F377" s="64"/>
      <c r="G377" s="64">
        <f t="shared" si="45"/>
        <v>0</v>
      </c>
      <c r="H377" s="64"/>
      <c r="I377" s="74"/>
      <c r="J377" s="42"/>
      <c r="M377" s="181">
        <v>0</v>
      </c>
      <c r="N377" s="181">
        <v>0</v>
      </c>
    </row>
    <row r="378" spans="1:16" x14ac:dyDescent="0.35">
      <c r="A378" s="169">
        <f t="shared" si="51"/>
        <v>367</v>
      </c>
      <c r="B378" s="9"/>
      <c r="C378" s="11"/>
      <c r="D378" s="10"/>
      <c r="E378" s="17"/>
      <c r="F378" s="17"/>
      <c r="G378" s="17">
        <f t="shared" si="45"/>
        <v>0</v>
      </c>
      <c r="H378" s="17"/>
      <c r="I378" s="73"/>
      <c r="J378" s="18"/>
      <c r="M378" s="181">
        <v>0</v>
      </c>
      <c r="N378" s="181">
        <v>0</v>
      </c>
    </row>
    <row r="379" spans="1:16" s="182" customFormat="1" ht="15" x14ac:dyDescent="0.4">
      <c r="A379" s="169">
        <f t="shared" si="51"/>
        <v>368</v>
      </c>
      <c r="B379" s="146" t="s">
        <v>727</v>
      </c>
      <c r="C379" s="239"/>
      <c r="D379" s="124"/>
      <c r="E379" s="240"/>
      <c r="F379" s="240"/>
      <c r="G379" s="240"/>
      <c r="H379" s="240"/>
      <c r="I379" s="237"/>
      <c r="J379" s="241"/>
      <c r="K379" s="180"/>
      <c r="L379" s="180"/>
      <c r="M379" s="181"/>
      <c r="N379" s="181"/>
      <c r="P379" s="180"/>
    </row>
    <row r="380" spans="1:16" s="182" customFormat="1" ht="40.5" x14ac:dyDescent="0.4">
      <c r="A380" s="169">
        <f t="shared" si="51"/>
        <v>369</v>
      </c>
      <c r="B380" s="141" t="s">
        <v>728</v>
      </c>
      <c r="C380" s="242">
        <v>42265</v>
      </c>
      <c r="D380" s="240" t="s">
        <v>89</v>
      </c>
      <c r="E380" s="237">
        <f t="shared" si="50"/>
        <v>0.95674999999999999</v>
      </c>
      <c r="F380" s="178">
        <f t="shared" ref="F380:F414" si="52">C380*E380</f>
        <v>40437.03875</v>
      </c>
      <c r="G380" s="237">
        <f t="shared" si="45"/>
        <v>1.4297500000000001</v>
      </c>
      <c r="H380" s="178">
        <f t="shared" ref="H380:H414" si="53">C380*G380</f>
        <v>60428.383750000001</v>
      </c>
      <c r="I380" s="177">
        <f t="shared" ref="I380:I414" si="54">E380+G380</f>
        <v>2.3864999999999998</v>
      </c>
      <c r="J380" s="179">
        <f t="shared" ref="J380:J414" si="55">I380*C380</f>
        <v>100865.4225</v>
      </c>
      <c r="K380" s="180"/>
      <c r="L380" s="180"/>
      <c r="M380" s="181">
        <v>0.89</v>
      </c>
      <c r="N380" s="181">
        <v>1.33</v>
      </c>
      <c r="P380" s="180"/>
    </row>
    <row r="381" spans="1:16" s="182" customFormat="1" ht="40.5" x14ac:dyDescent="0.4">
      <c r="A381" s="169">
        <f t="shared" si="51"/>
        <v>370</v>
      </c>
      <c r="B381" s="141" t="s">
        <v>729</v>
      </c>
      <c r="C381" s="242">
        <v>3074</v>
      </c>
      <c r="D381" s="240" t="s">
        <v>89</v>
      </c>
      <c r="E381" s="237">
        <f t="shared" si="50"/>
        <v>1.8274999999999999</v>
      </c>
      <c r="F381" s="178">
        <f t="shared" si="52"/>
        <v>5617.7349999999997</v>
      </c>
      <c r="G381" s="237">
        <f t="shared" si="45"/>
        <v>2.7519999999999993</v>
      </c>
      <c r="H381" s="178">
        <f t="shared" si="53"/>
        <v>8459.6479999999974</v>
      </c>
      <c r="I381" s="177">
        <f t="shared" si="54"/>
        <v>4.5794999999999995</v>
      </c>
      <c r="J381" s="179">
        <f t="shared" si="55"/>
        <v>14077.382999999998</v>
      </c>
      <c r="K381" s="180"/>
      <c r="L381" s="180"/>
      <c r="M381" s="181">
        <v>1.7</v>
      </c>
      <c r="N381" s="181">
        <v>2.5599999999999996</v>
      </c>
      <c r="P381" s="180"/>
    </row>
    <row r="382" spans="1:16" s="182" customFormat="1" ht="15" x14ac:dyDescent="0.4">
      <c r="A382" s="169">
        <f t="shared" si="51"/>
        <v>371</v>
      </c>
      <c r="B382" s="146"/>
      <c r="C382" s="239"/>
      <c r="D382" s="124"/>
      <c r="E382" s="240"/>
      <c r="F382" s="178">
        <f t="shared" si="52"/>
        <v>0</v>
      </c>
      <c r="G382" s="240"/>
      <c r="H382" s="178">
        <f t="shared" si="53"/>
        <v>0</v>
      </c>
      <c r="I382" s="177"/>
      <c r="J382" s="179"/>
      <c r="K382" s="180"/>
      <c r="L382" s="180"/>
      <c r="M382" s="181"/>
      <c r="N382" s="181"/>
      <c r="P382" s="180"/>
    </row>
    <row r="383" spans="1:16" s="182" customFormat="1" ht="15" x14ac:dyDescent="0.4">
      <c r="A383" s="169">
        <f t="shared" si="51"/>
        <v>372</v>
      </c>
      <c r="B383" s="243" t="s">
        <v>730</v>
      </c>
      <c r="C383" s="239"/>
      <c r="D383" s="124"/>
      <c r="E383" s="240"/>
      <c r="F383" s="178">
        <f t="shared" si="52"/>
        <v>0</v>
      </c>
      <c r="G383" s="240"/>
      <c r="H383" s="178">
        <f t="shared" si="53"/>
        <v>0</v>
      </c>
      <c r="I383" s="177"/>
      <c r="J383" s="179"/>
      <c r="K383" s="180"/>
      <c r="L383" s="180"/>
      <c r="M383" s="181"/>
      <c r="N383" s="181"/>
      <c r="P383" s="180"/>
    </row>
    <row r="384" spans="1:16" s="182" customFormat="1" ht="15" x14ac:dyDescent="0.4">
      <c r="A384" s="169">
        <f t="shared" si="51"/>
        <v>373</v>
      </c>
      <c r="B384" s="141" t="s">
        <v>731</v>
      </c>
      <c r="C384" s="242">
        <v>37675</v>
      </c>
      <c r="D384" s="240" t="s">
        <v>89</v>
      </c>
      <c r="E384" s="237">
        <f t="shared" si="50"/>
        <v>0.95674999999999999</v>
      </c>
      <c r="F384" s="178">
        <f t="shared" si="52"/>
        <v>36045.556250000001</v>
      </c>
      <c r="G384" s="237">
        <f t="shared" si="45"/>
        <v>1.4297500000000001</v>
      </c>
      <c r="H384" s="178">
        <f t="shared" si="53"/>
        <v>53865.831250000003</v>
      </c>
      <c r="I384" s="177">
        <f t="shared" si="54"/>
        <v>2.3864999999999998</v>
      </c>
      <c r="J384" s="179">
        <f t="shared" si="55"/>
        <v>89911.387499999997</v>
      </c>
      <c r="K384" s="180"/>
      <c r="L384" s="180"/>
      <c r="M384" s="181">
        <v>0.89</v>
      </c>
      <c r="N384" s="181">
        <v>1.33</v>
      </c>
      <c r="P384" s="180"/>
    </row>
    <row r="385" spans="1:16" s="182" customFormat="1" ht="54" x14ac:dyDescent="0.4">
      <c r="A385" s="169">
        <f t="shared" si="51"/>
        <v>374</v>
      </c>
      <c r="B385" s="141" t="s">
        <v>732</v>
      </c>
      <c r="C385" s="242">
        <v>567</v>
      </c>
      <c r="D385" s="240" t="s">
        <v>89</v>
      </c>
      <c r="E385" s="237">
        <f t="shared" si="50"/>
        <v>0.88149999999999995</v>
      </c>
      <c r="F385" s="178">
        <f t="shared" si="52"/>
        <v>499.81049999999999</v>
      </c>
      <c r="G385" s="237">
        <f t="shared" si="45"/>
        <v>1.3115000000000001</v>
      </c>
      <c r="H385" s="178">
        <f t="shared" si="53"/>
        <v>743.62050000000011</v>
      </c>
      <c r="I385" s="177">
        <f t="shared" si="54"/>
        <v>2.1930000000000001</v>
      </c>
      <c r="J385" s="179">
        <f t="shared" si="55"/>
        <v>1243.431</v>
      </c>
      <c r="K385" s="180"/>
      <c r="L385" s="180"/>
      <c r="M385" s="181">
        <v>0.82</v>
      </c>
      <c r="N385" s="181">
        <v>1.2200000000000002</v>
      </c>
      <c r="P385" s="180"/>
    </row>
    <row r="386" spans="1:16" s="182" customFormat="1" ht="15" x14ac:dyDescent="0.4">
      <c r="A386" s="169">
        <f t="shared" si="51"/>
        <v>375</v>
      </c>
      <c r="B386" s="146"/>
      <c r="C386" s="242"/>
      <c r="D386" s="240"/>
      <c r="E386" s="237"/>
      <c r="F386" s="178">
        <f t="shared" si="52"/>
        <v>0</v>
      </c>
      <c r="G386" s="237"/>
      <c r="H386" s="178">
        <f t="shared" si="53"/>
        <v>0</v>
      </c>
      <c r="I386" s="177"/>
      <c r="J386" s="179"/>
      <c r="K386" s="180"/>
      <c r="L386" s="180"/>
      <c r="M386" s="181"/>
      <c r="N386" s="181"/>
      <c r="P386" s="180"/>
    </row>
    <row r="387" spans="1:16" s="182" customFormat="1" ht="15" x14ac:dyDescent="0.4">
      <c r="A387" s="169">
        <f t="shared" si="51"/>
        <v>376</v>
      </c>
      <c r="B387" s="146" t="s">
        <v>733</v>
      </c>
      <c r="C387" s="242"/>
      <c r="D387" s="240"/>
      <c r="E387" s="237"/>
      <c r="F387" s="178">
        <f t="shared" si="52"/>
        <v>0</v>
      </c>
      <c r="G387" s="237"/>
      <c r="H387" s="178">
        <f t="shared" si="53"/>
        <v>0</v>
      </c>
      <c r="I387" s="177"/>
      <c r="J387" s="179"/>
      <c r="K387" s="180"/>
      <c r="L387" s="180"/>
      <c r="M387" s="181"/>
      <c r="N387" s="181"/>
      <c r="P387" s="180"/>
    </row>
    <row r="388" spans="1:16" s="182" customFormat="1" ht="15" x14ac:dyDescent="0.4">
      <c r="A388" s="169">
        <f t="shared" si="51"/>
        <v>377</v>
      </c>
      <c r="B388" s="141" t="s">
        <v>734</v>
      </c>
      <c r="C388" s="242">
        <v>2</v>
      </c>
      <c r="D388" s="240" t="s">
        <v>290</v>
      </c>
      <c r="E388" s="237">
        <f t="shared" si="50"/>
        <v>361.2</v>
      </c>
      <c r="F388" s="178">
        <f t="shared" si="52"/>
        <v>722.4</v>
      </c>
      <c r="G388" s="237">
        <f t="shared" si="45"/>
        <v>541.79999999999995</v>
      </c>
      <c r="H388" s="178">
        <f t="shared" si="53"/>
        <v>1083.5999999999999</v>
      </c>
      <c r="I388" s="177">
        <f t="shared" si="54"/>
        <v>903</v>
      </c>
      <c r="J388" s="179">
        <f t="shared" si="55"/>
        <v>1806</v>
      </c>
      <c r="K388" s="180"/>
      <c r="L388" s="180"/>
      <c r="M388" s="181">
        <v>336</v>
      </c>
      <c r="N388" s="181">
        <v>504</v>
      </c>
      <c r="P388" s="180"/>
    </row>
    <row r="389" spans="1:16" s="182" customFormat="1" ht="27" x14ac:dyDescent="0.4">
      <c r="A389" s="169">
        <f t="shared" si="51"/>
        <v>378</v>
      </c>
      <c r="B389" s="141" t="s">
        <v>735</v>
      </c>
      <c r="C389" s="242">
        <v>3</v>
      </c>
      <c r="D389" s="240" t="s">
        <v>290</v>
      </c>
      <c r="E389" s="237">
        <f t="shared" si="50"/>
        <v>361.2</v>
      </c>
      <c r="F389" s="178">
        <f t="shared" si="52"/>
        <v>1083.5999999999999</v>
      </c>
      <c r="G389" s="237">
        <f t="shared" si="45"/>
        <v>541.79999999999995</v>
      </c>
      <c r="H389" s="178">
        <f t="shared" si="53"/>
        <v>1625.3999999999999</v>
      </c>
      <c r="I389" s="177">
        <f t="shared" si="54"/>
        <v>903</v>
      </c>
      <c r="J389" s="179">
        <f t="shared" si="55"/>
        <v>2709</v>
      </c>
      <c r="K389" s="180"/>
      <c r="L389" s="180"/>
      <c r="M389" s="181">
        <v>336</v>
      </c>
      <c r="N389" s="181">
        <v>504</v>
      </c>
      <c r="P389" s="180"/>
    </row>
    <row r="390" spans="1:16" s="182" customFormat="1" ht="15" x14ac:dyDescent="0.4">
      <c r="A390" s="169">
        <f t="shared" si="51"/>
        <v>379</v>
      </c>
      <c r="B390" s="141" t="s">
        <v>736</v>
      </c>
      <c r="C390" s="242">
        <v>1</v>
      </c>
      <c r="D390" s="240" t="s">
        <v>290</v>
      </c>
      <c r="E390" s="237">
        <f t="shared" si="50"/>
        <v>408.5</v>
      </c>
      <c r="F390" s="178">
        <f t="shared" si="52"/>
        <v>408.5</v>
      </c>
      <c r="G390" s="237">
        <f t="shared" si="45"/>
        <v>698.75</v>
      </c>
      <c r="H390" s="178">
        <f t="shared" si="53"/>
        <v>698.75</v>
      </c>
      <c r="I390" s="177">
        <f t="shared" si="54"/>
        <v>1107.25</v>
      </c>
      <c r="J390" s="179">
        <f t="shared" si="55"/>
        <v>1107.25</v>
      </c>
      <c r="K390" s="180"/>
      <c r="L390" s="180"/>
      <c r="M390" s="181">
        <v>380</v>
      </c>
      <c r="N390" s="181">
        <v>650</v>
      </c>
      <c r="P390" s="180"/>
    </row>
    <row r="391" spans="1:16" s="182" customFormat="1" ht="27" x14ac:dyDescent="0.4">
      <c r="A391" s="169">
        <f t="shared" si="51"/>
        <v>380</v>
      </c>
      <c r="B391" s="141" t="s">
        <v>737</v>
      </c>
      <c r="C391" s="242">
        <v>13</v>
      </c>
      <c r="D391" s="240" t="s">
        <v>290</v>
      </c>
      <c r="E391" s="237">
        <f t="shared" si="50"/>
        <v>408.5</v>
      </c>
      <c r="F391" s="178">
        <f t="shared" si="52"/>
        <v>5310.5</v>
      </c>
      <c r="G391" s="237">
        <f t="shared" si="45"/>
        <v>698.75</v>
      </c>
      <c r="H391" s="178">
        <f t="shared" si="53"/>
        <v>9083.75</v>
      </c>
      <c r="I391" s="177">
        <f t="shared" si="54"/>
        <v>1107.25</v>
      </c>
      <c r="J391" s="179">
        <f t="shared" si="55"/>
        <v>14394.25</v>
      </c>
      <c r="K391" s="180"/>
      <c r="L391" s="180"/>
      <c r="M391" s="181">
        <v>380</v>
      </c>
      <c r="N391" s="181">
        <v>650</v>
      </c>
      <c r="P391" s="180"/>
    </row>
    <row r="392" spans="1:16" s="182" customFormat="1" ht="15" x14ac:dyDescent="0.4">
      <c r="A392" s="169">
        <f t="shared" si="51"/>
        <v>381</v>
      </c>
      <c r="B392" s="141" t="s">
        <v>738</v>
      </c>
      <c r="C392" s="242">
        <v>3</v>
      </c>
      <c r="D392" s="240" t="s">
        <v>290</v>
      </c>
      <c r="E392" s="237">
        <f t="shared" si="50"/>
        <v>361.2</v>
      </c>
      <c r="F392" s="178">
        <f t="shared" si="52"/>
        <v>1083.5999999999999</v>
      </c>
      <c r="G392" s="237">
        <f t="shared" si="45"/>
        <v>541.79999999999995</v>
      </c>
      <c r="H392" s="178">
        <f t="shared" si="53"/>
        <v>1625.3999999999999</v>
      </c>
      <c r="I392" s="177">
        <f t="shared" si="54"/>
        <v>903</v>
      </c>
      <c r="J392" s="179">
        <f t="shared" si="55"/>
        <v>2709</v>
      </c>
      <c r="K392" s="180"/>
      <c r="L392" s="180"/>
      <c r="M392" s="181">
        <v>336</v>
      </c>
      <c r="N392" s="181">
        <v>504</v>
      </c>
      <c r="P392" s="180"/>
    </row>
    <row r="393" spans="1:16" s="182" customFormat="1" ht="27" x14ac:dyDescent="0.4">
      <c r="A393" s="169">
        <f t="shared" si="51"/>
        <v>382</v>
      </c>
      <c r="B393" s="141" t="s">
        <v>739</v>
      </c>
      <c r="C393" s="242">
        <v>4</v>
      </c>
      <c r="D393" s="240" t="s">
        <v>290</v>
      </c>
      <c r="E393" s="237">
        <f t="shared" si="50"/>
        <v>408.5</v>
      </c>
      <c r="F393" s="178">
        <f t="shared" si="52"/>
        <v>1634</v>
      </c>
      <c r="G393" s="237">
        <f t="shared" si="45"/>
        <v>645</v>
      </c>
      <c r="H393" s="178">
        <f t="shared" si="53"/>
        <v>2580</v>
      </c>
      <c r="I393" s="177">
        <f t="shared" si="54"/>
        <v>1053.5</v>
      </c>
      <c r="J393" s="179">
        <f t="shared" si="55"/>
        <v>4214</v>
      </c>
      <c r="K393" s="180"/>
      <c r="L393" s="180"/>
      <c r="M393" s="181">
        <v>380</v>
      </c>
      <c r="N393" s="181">
        <v>600</v>
      </c>
      <c r="P393" s="180"/>
    </row>
    <row r="394" spans="1:16" s="182" customFormat="1" ht="15" x14ac:dyDescent="0.4">
      <c r="A394" s="169">
        <f t="shared" si="51"/>
        <v>383</v>
      </c>
      <c r="B394" s="141" t="s">
        <v>740</v>
      </c>
      <c r="C394" s="242">
        <v>17</v>
      </c>
      <c r="D394" s="240" t="s">
        <v>290</v>
      </c>
      <c r="E394" s="237">
        <f t="shared" si="50"/>
        <v>361.2</v>
      </c>
      <c r="F394" s="178">
        <f t="shared" si="52"/>
        <v>6140.4</v>
      </c>
      <c r="G394" s="237">
        <f t="shared" ref="G394:G423" si="56">N394*$N$8</f>
        <v>541.79999999999995</v>
      </c>
      <c r="H394" s="178">
        <f t="shared" si="53"/>
        <v>9210.5999999999985</v>
      </c>
      <c r="I394" s="177">
        <f t="shared" si="54"/>
        <v>903</v>
      </c>
      <c r="J394" s="179">
        <f t="shared" si="55"/>
        <v>15351</v>
      </c>
      <c r="K394" s="180"/>
      <c r="L394" s="180"/>
      <c r="M394" s="181">
        <v>336</v>
      </c>
      <c r="N394" s="181">
        <v>504</v>
      </c>
      <c r="P394" s="180"/>
    </row>
    <row r="395" spans="1:16" s="182" customFormat="1" ht="15" x14ac:dyDescent="0.4">
      <c r="A395" s="169">
        <f t="shared" si="51"/>
        <v>384</v>
      </c>
      <c r="B395" s="141" t="s">
        <v>734</v>
      </c>
      <c r="C395" s="242">
        <v>10</v>
      </c>
      <c r="D395" s="240" t="s">
        <v>290</v>
      </c>
      <c r="E395" s="237">
        <f t="shared" si="50"/>
        <v>361.2</v>
      </c>
      <c r="F395" s="178">
        <f t="shared" si="52"/>
        <v>3612</v>
      </c>
      <c r="G395" s="237">
        <f t="shared" si="56"/>
        <v>541.79999999999995</v>
      </c>
      <c r="H395" s="178">
        <f t="shared" si="53"/>
        <v>5418</v>
      </c>
      <c r="I395" s="177">
        <f t="shared" si="54"/>
        <v>903</v>
      </c>
      <c r="J395" s="179">
        <f t="shared" si="55"/>
        <v>9030</v>
      </c>
      <c r="K395" s="180"/>
      <c r="L395" s="180"/>
      <c r="M395" s="181">
        <v>336</v>
      </c>
      <c r="N395" s="181">
        <v>504</v>
      </c>
      <c r="P395" s="180"/>
    </row>
    <row r="396" spans="1:16" s="182" customFormat="1" ht="15" x14ac:dyDescent="0.4">
      <c r="A396" s="169">
        <f t="shared" si="51"/>
        <v>385</v>
      </c>
      <c r="B396" s="244" t="s">
        <v>741</v>
      </c>
      <c r="C396" s="242">
        <v>5</v>
      </c>
      <c r="D396" s="240" t="s">
        <v>290</v>
      </c>
      <c r="E396" s="237">
        <f t="shared" si="50"/>
        <v>408.5</v>
      </c>
      <c r="F396" s="178">
        <f t="shared" si="52"/>
        <v>2042.5</v>
      </c>
      <c r="G396" s="237">
        <f t="shared" si="56"/>
        <v>645</v>
      </c>
      <c r="H396" s="178">
        <f t="shared" si="53"/>
        <v>3225</v>
      </c>
      <c r="I396" s="177">
        <f t="shared" si="54"/>
        <v>1053.5</v>
      </c>
      <c r="J396" s="179">
        <f t="shared" si="55"/>
        <v>5267.5</v>
      </c>
      <c r="K396" s="180"/>
      <c r="L396" s="180"/>
      <c r="M396" s="181">
        <v>380</v>
      </c>
      <c r="N396" s="181">
        <v>600</v>
      </c>
      <c r="P396" s="180"/>
    </row>
    <row r="397" spans="1:16" s="182" customFormat="1" ht="15" x14ac:dyDescent="0.4">
      <c r="A397" s="169">
        <f t="shared" si="51"/>
        <v>386</v>
      </c>
      <c r="B397" s="141" t="s">
        <v>742</v>
      </c>
      <c r="C397" s="242">
        <v>2</v>
      </c>
      <c r="D397" s="240" t="s">
        <v>290</v>
      </c>
      <c r="E397" s="237">
        <f t="shared" si="50"/>
        <v>361.2</v>
      </c>
      <c r="F397" s="178">
        <f t="shared" si="52"/>
        <v>722.4</v>
      </c>
      <c r="G397" s="237">
        <f t="shared" si="56"/>
        <v>541.79999999999995</v>
      </c>
      <c r="H397" s="178">
        <f t="shared" si="53"/>
        <v>1083.5999999999999</v>
      </c>
      <c r="I397" s="177">
        <f t="shared" si="54"/>
        <v>903</v>
      </c>
      <c r="J397" s="179">
        <f t="shared" si="55"/>
        <v>1806</v>
      </c>
      <c r="K397" s="180"/>
      <c r="L397" s="180"/>
      <c r="M397" s="181">
        <v>336</v>
      </c>
      <c r="N397" s="181">
        <v>504</v>
      </c>
      <c r="P397" s="180"/>
    </row>
    <row r="398" spans="1:16" s="182" customFormat="1" ht="15" x14ac:dyDescent="0.4">
      <c r="A398" s="169">
        <f t="shared" si="51"/>
        <v>387</v>
      </c>
      <c r="B398" s="146"/>
      <c r="C398" s="242"/>
      <c r="D398" s="240"/>
      <c r="E398" s="237"/>
      <c r="F398" s="178">
        <f t="shared" si="52"/>
        <v>0</v>
      </c>
      <c r="G398" s="237"/>
      <c r="H398" s="178">
        <f t="shared" si="53"/>
        <v>0</v>
      </c>
      <c r="I398" s="177"/>
      <c r="J398" s="179"/>
      <c r="K398" s="180"/>
      <c r="L398" s="180"/>
      <c r="M398" s="181"/>
      <c r="N398" s="181"/>
      <c r="P398" s="180"/>
    </row>
    <row r="399" spans="1:16" s="182" customFormat="1" ht="15" x14ac:dyDescent="0.4">
      <c r="A399" s="169">
        <f t="shared" si="51"/>
        <v>388</v>
      </c>
      <c r="B399" s="146" t="s">
        <v>743</v>
      </c>
      <c r="C399" s="242"/>
      <c r="D399" s="240"/>
      <c r="E399" s="237"/>
      <c r="F399" s="178">
        <f t="shared" si="52"/>
        <v>0</v>
      </c>
      <c r="G399" s="237"/>
      <c r="H399" s="178">
        <f t="shared" si="53"/>
        <v>0</v>
      </c>
      <c r="I399" s="177"/>
      <c r="J399" s="179"/>
      <c r="K399" s="180"/>
      <c r="L399" s="180"/>
      <c r="M399" s="181"/>
      <c r="N399" s="181"/>
      <c r="P399" s="180"/>
    </row>
    <row r="400" spans="1:16" s="182" customFormat="1" ht="15" x14ac:dyDescent="0.4">
      <c r="A400" s="169">
        <f t="shared" si="51"/>
        <v>389</v>
      </c>
      <c r="B400" s="141" t="s">
        <v>744</v>
      </c>
      <c r="C400" s="242">
        <v>186</v>
      </c>
      <c r="D400" s="240" t="s">
        <v>290</v>
      </c>
      <c r="E400" s="237">
        <f t="shared" si="50"/>
        <v>47.3</v>
      </c>
      <c r="F400" s="178">
        <f t="shared" si="52"/>
        <v>8797.7999999999993</v>
      </c>
      <c r="G400" s="237">
        <f t="shared" si="56"/>
        <v>70.95</v>
      </c>
      <c r="H400" s="178">
        <f t="shared" si="53"/>
        <v>13196.7</v>
      </c>
      <c r="I400" s="177">
        <f t="shared" si="54"/>
        <v>118.25</v>
      </c>
      <c r="J400" s="179">
        <f t="shared" si="55"/>
        <v>21994.5</v>
      </c>
      <c r="K400" s="180"/>
      <c r="L400" s="180"/>
      <c r="M400" s="181">
        <v>44</v>
      </c>
      <c r="N400" s="181">
        <v>66</v>
      </c>
      <c r="P400" s="180"/>
    </row>
    <row r="401" spans="1:16" s="182" customFormat="1" ht="15" x14ac:dyDescent="0.4">
      <c r="A401" s="169">
        <f t="shared" si="51"/>
        <v>390</v>
      </c>
      <c r="B401" s="141" t="s">
        <v>745</v>
      </c>
      <c r="C401" s="242">
        <v>18</v>
      </c>
      <c r="D401" s="240" t="s">
        <v>290</v>
      </c>
      <c r="E401" s="237">
        <f t="shared" si="50"/>
        <v>47.3</v>
      </c>
      <c r="F401" s="178">
        <f t="shared" si="52"/>
        <v>851.4</v>
      </c>
      <c r="G401" s="237">
        <f t="shared" si="56"/>
        <v>70.95</v>
      </c>
      <c r="H401" s="178">
        <f t="shared" si="53"/>
        <v>1277.1000000000001</v>
      </c>
      <c r="I401" s="177">
        <f t="shared" si="54"/>
        <v>118.25</v>
      </c>
      <c r="J401" s="179">
        <f t="shared" si="55"/>
        <v>2128.5</v>
      </c>
      <c r="K401" s="180"/>
      <c r="L401" s="180"/>
      <c r="M401" s="181">
        <v>44</v>
      </c>
      <c r="N401" s="181">
        <v>66</v>
      </c>
      <c r="P401" s="180"/>
    </row>
    <row r="402" spans="1:16" s="182" customFormat="1" ht="15" x14ac:dyDescent="0.4">
      <c r="A402" s="169">
        <f t="shared" si="51"/>
        <v>391</v>
      </c>
      <c r="B402" s="141" t="s">
        <v>746</v>
      </c>
      <c r="C402" s="242">
        <v>7</v>
      </c>
      <c r="D402" s="240" t="s">
        <v>290</v>
      </c>
      <c r="E402" s="237">
        <f t="shared" si="50"/>
        <v>47.3</v>
      </c>
      <c r="F402" s="178">
        <f t="shared" si="52"/>
        <v>331.09999999999997</v>
      </c>
      <c r="G402" s="237">
        <f t="shared" si="56"/>
        <v>70.95</v>
      </c>
      <c r="H402" s="178">
        <f t="shared" si="53"/>
        <v>496.65000000000003</v>
      </c>
      <c r="I402" s="177">
        <f t="shared" si="54"/>
        <v>118.25</v>
      </c>
      <c r="J402" s="179">
        <f t="shared" si="55"/>
        <v>827.75</v>
      </c>
      <c r="K402" s="180"/>
      <c r="L402" s="180"/>
      <c r="M402" s="181">
        <v>44</v>
      </c>
      <c r="N402" s="181">
        <v>66</v>
      </c>
      <c r="P402" s="180"/>
    </row>
    <row r="403" spans="1:16" s="182" customFormat="1" ht="15" x14ac:dyDescent="0.4">
      <c r="A403" s="169">
        <f t="shared" si="51"/>
        <v>392</v>
      </c>
      <c r="B403" s="141" t="s">
        <v>747</v>
      </c>
      <c r="C403" s="242">
        <v>73</v>
      </c>
      <c r="D403" s="240" t="s">
        <v>290</v>
      </c>
      <c r="E403" s="237">
        <f t="shared" si="50"/>
        <v>47.3</v>
      </c>
      <c r="F403" s="178">
        <f t="shared" si="52"/>
        <v>3452.8999999999996</v>
      </c>
      <c r="G403" s="237">
        <f t="shared" si="56"/>
        <v>70.95</v>
      </c>
      <c r="H403" s="178">
        <f t="shared" si="53"/>
        <v>5179.3500000000004</v>
      </c>
      <c r="I403" s="177">
        <f t="shared" si="54"/>
        <v>118.25</v>
      </c>
      <c r="J403" s="179">
        <f t="shared" si="55"/>
        <v>8632.25</v>
      </c>
      <c r="K403" s="180"/>
      <c r="L403" s="180"/>
      <c r="M403" s="181">
        <v>44</v>
      </c>
      <c r="N403" s="181">
        <v>66</v>
      </c>
      <c r="P403" s="180"/>
    </row>
    <row r="404" spans="1:16" s="182" customFormat="1" ht="27" x14ac:dyDescent="0.4">
      <c r="A404" s="169">
        <f t="shared" si="51"/>
        <v>393</v>
      </c>
      <c r="B404" s="141" t="s">
        <v>748</v>
      </c>
      <c r="C404" s="242">
        <v>5</v>
      </c>
      <c r="D404" s="240" t="s">
        <v>290</v>
      </c>
      <c r="E404" s="237">
        <f t="shared" si="50"/>
        <v>47.3</v>
      </c>
      <c r="F404" s="178">
        <f t="shared" si="52"/>
        <v>236.5</v>
      </c>
      <c r="G404" s="237">
        <f t="shared" si="56"/>
        <v>70.95</v>
      </c>
      <c r="H404" s="178">
        <f t="shared" si="53"/>
        <v>354.75</v>
      </c>
      <c r="I404" s="177">
        <f t="shared" si="54"/>
        <v>118.25</v>
      </c>
      <c r="J404" s="179">
        <f t="shared" si="55"/>
        <v>591.25</v>
      </c>
      <c r="K404" s="180"/>
      <c r="L404" s="180"/>
      <c r="M404" s="181">
        <v>44</v>
      </c>
      <c r="N404" s="181">
        <v>66</v>
      </c>
      <c r="P404" s="180"/>
    </row>
    <row r="405" spans="1:16" s="182" customFormat="1" ht="15" x14ac:dyDescent="0.4">
      <c r="A405" s="169">
        <f t="shared" si="51"/>
        <v>394</v>
      </c>
      <c r="B405" s="146"/>
      <c r="C405" s="242"/>
      <c r="D405" s="240"/>
      <c r="E405" s="237"/>
      <c r="F405" s="178">
        <f t="shared" si="52"/>
        <v>0</v>
      </c>
      <c r="G405" s="237"/>
      <c r="H405" s="178">
        <f t="shared" si="53"/>
        <v>0</v>
      </c>
      <c r="I405" s="177"/>
      <c r="J405" s="179"/>
      <c r="K405" s="180"/>
      <c r="L405" s="180"/>
      <c r="M405" s="181"/>
      <c r="N405" s="181"/>
      <c r="P405" s="180"/>
    </row>
    <row r="406" spans="1:16" s="182" customFormat="1" ht="15" x14ac:dyDescent="0.4">
      <c r="A406" s="169">
        <f t="shared" si="51"/>
        <v>395</v>
      </c>
      <c r="B406" s="146" t="s">
        <v>749</v>
      </c>
      <c r="C406" s="242"/>
      <c r="D406" s="240"/>
      <c r="E406" s="237"/>
      <c r="F406" s="178">
        <f t="shared" si="52"/>
        <v>0</v>
      </c>
      <c r="G406" s="237"/>
      <c r="H406" s="178">
        <f t="shared" si="53"/>
        <v>0</v>
      </c>
      <c r="I406" s="177"/>
      <c r="J406" s="179"/>
      <c r="K406" s="180"/>
      <c r="L406" s="180"/>
      <c r="M406" s="181"/>
      <c r="N406" s="181"/>
      <c r="P406" s="180"/>
    </row>
    <row r="407" spans="1:16" s="182" customFormat="1" ht="27" x14ac:dyDescent="0.4">
      <c r="A407" s="169">
        <f t="shared" si="51"/>
        <v>396</v>
      </c>
      <c r="B407" s="141" t="s">
        <v>750</v>
      </c>
      <c r="C407" s="242">
        <v>250</v>
      </c>
      <c r="D407" s="240" t="s">
        <v>290</v>
      </c>
      <c r="E407" s="237">
        <f t="shared" si="50"/>
        <v>17.2</v>
      </c>
      <c r="F407" s="178">
        <f t="shared" si="52"/>
        <v>4300</v>
      </c>
      <c r="G407" s="237">
        <f t="shared" si="56"/>
        <v>25.799999999999997</v>
      </c>
      <c r="H407" s="178">
        <f t="shared" si="53"/>
        <v>6449.9999999999991</v>
      </c>
      <c r="I407" s="177">
        <f t="shared" si="54"/>
        <v>43</v>
      </c>
      <c r="J407" s="179">
        <f t="shared" si="55"/>
        <v>10750</v>
      </c>
      <c r="K407" s="180"/>
      <c r="L407" s="180"/>
      <c r="M407" s="181">
        <v>16</v>
      </c>
      <c r="N407" s="181">
        <v>24</v>
      </c>
      <c r="P407" s="180"/>
    </row>
    <row r="408" spans="1:16" s="182" customFormat="1" ht="15" x14ac:dyDescent="0.4">
      <c r="A408" s="169">
        <f t="shared" si="51"/>
        <v>397</v>
      </c>
      <c r="B408" s="146"/>
      <c r="C408" s="242"/>
      <c r="D408" s="240"/>
      <c r="E408" s="237"/>
      <c r="F408" s="178">
        <f t="shared" si="52"/>
        <v>0</v>
      </c>
      <c r="G408" s="237"/>
      <c r="H408" s="178">
        <f t="shared" si="53"/>
        <v>0</v>
      </c>
      <c r="I408" s="177"/>
      <c r="J408" s="179"/>
      <c r="K408" s="180"/>
      <c r="L408" s="180"/>
      <c r="M408" s="181"/>
      <c r="N408" s="181"/>
      <c r="P408" s="180"/>
    </row>
    <row r="409" spans="1:16" s="182" customFormat="1" ht="15" x14ac:dyDescent="0.4">
      <c r="A409" s="169">
        <f t="shared" si="51"/>
        <v>398</v>
      </c>
      <c r="B409" s="146" t="s">
        <v>751</v>
      </c>
      <c r="C409" s="242"/>
      <c r="D409" s="240"/>
      <c r="E409" s="237"/>
      <c r="F409" s="178">
        <f t="shared" si="52"/>
        <v>0</v>
      </c>
      <c r="G409" s="237"/>
      <c r="H409" s="178">
        <f t="shared" si="53"/>
        <v>0</v>
      </c>
      <c r="I409" s="177"/>
      <c r="J409" s="179"/>
      <c r="K409" s="180"/>
      <c r="L409" s="180"/>
      <c r="M409" s="181"/>
      <c r="N409" s="181"/>
      <c r="P409" s="180"/>
    </row>
    <row r="410" spans="1:16" s="182" customFormat="1" ht="15" x14ac:dyDescent="0.4">
      <c r="A410" s="169">
        <f t="shared" si="51"/>
        <v>399</v>
      </c>
      <c r="B410" s="141" t="s">
        <v>752</v>
      </c>
      <c r="C410" s="242">
        <v>300</v>
      </c>
      <c r="D410" s="240" t="s">
        <v>290</v>
      </c>
      <c r="E410" s="237">
        <f t="shared" si="50"/>
        <v>4.3</v>
      </c>
      <c r="F410" s="178">
        <f t="shared" si="52"/>
        <v>1290</v>
      </c>
      <c r="G410" s="237">
        <f t="shared" si="56"/>
        <v>6.4499999999999993</v>
      </c>
      <c r="H410" s="178">
        <f t="shared" si="53"/>
        <v>1934.9999999999998</v>
      </c>
      <c r="I410" s="177">
        <f t="shared" si="54"/>
        <v>10.75</v>
      </c>
      <c r="J410" s="179">
        <f t="shared" si="55"/>
        <v>3225</v>
      </c>
      <c r="K410" s="180"/>
      <c r="L410" s="180"/>
      <c r="M410" s="181">
        <v>4</v>
      </c>
      <c r="N410" s="181">
        <v>6</v>
      </c>
      <c r="P410" s="180"/>
    </row>
    <row r="411" spans="1:16" s="182" customFormat="1" ht="15" x14ac:dyDescent="0.4">
      <c r="A411" s="169">
        <f t="shared" si="51"/>
        <v>400</v>
      </c>
      <c r="B411" s="141" t="s">
        <v>753</v>
      </c>
      <c r="C411" s="242">
        <v>355</v>
      </c>
      <c r="D411" s="240" t="s">
        <v>290</v>
      </c>
      <c r="E411" s="237">
        <f t="shared" ref="E411:E419" si="57">M411*$M$8</f>
        <v>4.3</v>
      </c>
      <c r="F411" s="178">
        <f t="shared" si="52"/>
        <v>1526.5</v>
      </c>
      <c r="G411" s="237">
        <f t="shared" si="56"/>
        <v>6.4499999999999993</v>
      </c>
      <c r="H411" s="178">
        <f t="shared" si="53"/>
        <v>2289.7499999999995</v>
      </c>
      <c r="I411" s="177">
        <f t="shared" si="54"/>
        <v>10.75</v>
      </c>
      <c r="J411" s="179">
        <f t="shared" si="55"/>
        <v>3816.25</v>
      </c>
      <c r="K411" s="180"/>
      <c r="L411" s="180"/>
      <c r="M411" s="181">
        <v>4</v>
      </c>
      <c r="N411" s="181">
        <v>6</v>
      </c>
      <c r="P411" s="180"/>
    </row>
    <row r="412" spans="1:16" s="182" customFormat="1" ht="15" x14ac:dyDescent="0.4">
      <c r="A412" s="169">
        <f t="shared" si="51"/>
        <v>401</v>
      </c>
      <c r="B412" s="141" t="s">
        <v>754</v>
      </c>
      <c r="C412" s="242">
        <v>212</v>
      </c>
      <c r="D412" s="240" t="s">
        <v>290</v>
      </c>
      <c r="E412" s="237">
        <f t="shared" si="57"/>
        <v>4.3</v>
      </c>
      <c r="F412" s="178">
        <f t="shared" si="52"/>
        <v>911.59999999999991</v>
      </c>
      <c r="G412" s="237">
        <f t="shared" si="56"/>
        <v>6.4499999999999993</v>
      </c>
      <c r="H412" s="178">
        <f t="shared" si="53"/>
        <v>1367.3999999999999</v>
      </c>
      <c r="I412" s="177">
        <f t="shared" si="54"/>
        <v>10.75</v>
      </c>
      <c r="J412" s="179">
        <f t="shared" si="55"/>
        <v>2279</v>
      </c>
      <c r="K412" s="180"/>
      <c r="L412" s="180"/>
      <c r="M412" s="181">
        <v>4</v>
      </c>
      <c r="N412" s="181">
        <v>6</v>
      </c>
      <c r="P412" s="180"/>
    </row>
    <row r="413" spans="1:16" s="182" customFormat="1" ht="27" x14ac:dyDescent="0.4">
      <c r="A413" s="169">
        <f t="shared" si="51"/>
        <v>402</v>
      </c>
      <c r="B413" s="141" t="s">
        <v>755</v>
      </c>
      <c r="C413" s="242">
        <v>32</v>
      </c>
      <c r="D413" s="240" t="s">
        <v>290</v>
      </c>
      <c r="E413" s="237">
        <f t="shared" si="57"/>
        <v>4.3</v>
      </c>
      <c r="F413" s="178">
        <f t="shared" si="52"/>
        <v>137.6</v>
      </c>
      <c r="G413" s="237">
        <f t="shared" si="56"/>
        <v>6.4499999999999993</v>
      </c>
      <c r="H413" s="178">
        <f t="shared" si="53"/>
        <v>206.39999999999998</v>
      </c>
      <c r="I413" s="177">
        <f t="shared" si="54"/>
        <v>10.75</v>
      </c>
      <c r="J413" s="179">
        <f t="shared" si="55"/>
        <v>344</v>
      </c>
      <c r="K413" s="180"/>
      <c r="L413" s="180"/>
      <c r="M413" s="181">
        <v>4</v>
      </c>
      <c r="N413" s="181">
        <v>6</v>
      </c>
      <c r="P413" s="180"/>
    </row>
    <row r="414" spans="1:16" s="182" customFormat="1" ht="27" x14ac:dyDescent="0.4">
      <c r="A414" s="169">
        <f t="shared" si="51"/>
        <v>403</v>
      </c>
      <c r="B414" s="141" t="s">
        <v>756</v>
      </c>
      <c r="C414" s="242">
        <v>206</v>
      </c>
      <c r="D414" s="240" t="s">
        <v>290</v>
      </c>
      <c r="E414" s="237">
        <f t="shared" si="57"/>
        <v>4.3</v>
      </c>
      <c r="F414" s="178">
        <f t="shared" si="52"/>
        <v>885.8</v>
      </c>
      <c r="G414" s="237">
        <f t="shared" si="56"/>
        <v>6.4499999999999993</v>
      </c>
      <c r="H414" s="178">
        <f t="shared" si="53"/>
        <v>1328.6999999999998</v>
      </c>
      <c r="I414" s="177">
        <f t="shared" si="54"/>
        <v>10.75</v>
      </c>
      <c r="J414" s="179">
        <f t="shared" si="55"/>
        <v>2214.5</v>
      </c>
      <c r="K414" s="180"/>
      <c r="L414" s="180"/>
      <c r="M414" s="181">
        <v>4</v>
      </c>
      <c r="N414" s="181">
        <v>6</v>
      </c>
      <c r="P414" s="180"/>
    </row>
    <row r="415" spans="1:16" x14ac:dyDescent="0.35">
      <c r="A415" s="169">
        <f t="shared" ref="A415:A423" si="58">ROW()-11</f>
        <v>404</v>
      </c>
      <c r="B415" s="9"/>
      <c r="C415" s="11"/>
      <c r="D415" s="10"/>
      <c r="E415" s="17"/>
      <c r="F415" s="20" t="s">
        <v>6</v>
      </c>
      <c r="G415" s="17">
        <f t="shared" si="56"/>
        <v>0</v>
      </c>
      <c r="H415" s="20" t="s">
        <v>6</v>
      </c>
      <c r="I415" s="73"/>
      <c r="J415" s="20" t="s">
        <v>6</v>
      </c>
      <c r="M415" s="181">
        <v>0</v>
      </c>
      <c r="N415" s="181">
        <v>0</v>
      </c>
    </row>
    <row r="416" spans="1:16" x14ac:dyDescent="0.35">
      <c r="A416" s="169">
        <f t="shared" si="58"/>
        <v>405</v>
      </c>
      <c r="B416" s="13" t="str">
        <f>"Subtotal " &amp; B377</f>
        <v>Subtotal 02-00-09 Planting</v>
      </c>
      <c r="C416" s="11"/>
      <c r="D416" s="10"/>
      <c r="E416" s="17"/>
      <c r="F416" s="15">
        <f>SUM(F377:F415)</f>
        <v>128081.24050000001</v>
      </c>
      <c r="G416" s="17">
        <f t="shared" si="56"/>
        <v>0</v>
      </c>
      <c r="H416" s="15">
        <f>SUM(H377:H415)</f>
        <v>193213.38350000003</v>
      </c>
      <c r="I416" s="73"/>
      <c r="J416" s="15">
        <f>SUM(J377:J415)</f>
        <v>321294.62400000001</v>
      </c>
      <c r="M416" s="181">
        <v>0</v>
      </c>
      <c r="N416" s="181">
        <v>0</v>
      </c>
    </row>
    <row r="417" spans="1:16" x14ac:dyDescent="0.35">
      <c r="A417" s="169">
        <f t="shared" si="58"/>
        <v>406</v>
      </c>
      <c r="B417" s="13"/>
      <c r="C417" s="11"/>
      <c r="D417" s="10"/>
      <c r="E417" s="17"/>
      <c r="F417" s="15"/>
      <c r="G417" s="17">
        <f t="shared" si="56"/>
        <v>0</v>
      </c>
      <c r="H417" s="15"/>
      <c r="I417" s="73"/>
      <c r="J417" s="15"/>
      <c r="M417" s="181">
        <v>0</v>
      </c>
      <c r="N417" s="181">
        <v>0</v>
      </c>
    </row>
    <row r="418" spans="1:16" x14ac:dyDescent="0.35">
      <c r="A418" s="169">
        <f t="shared" si="58"/>
        <v>407</v>
      </c>
      <c r="B418" s="62" t="s">
        <v>757</v>
      </c>
      <c r="C418" s="65"/>
      <c r="D418" s="63"/>
      <c r="E418" s="64"/>
      <c r="F418" s="64"/>
      <c r="G418" s="64">
        <f t="shared" si="56"/>
        <v>0</v>
      </c>
      <c r="H418" s="64"/>
      <c r="I418" s="74"/>
      <c r="J418" s="42"/>
      <c r="M418" s="181">
        <v>0</v>
      </c>
      <c r="N418" s="181">
        <v>0</v>
      </c>
    </row>
    <row r="419" spans="1:16" s="182" customFormat="1" ht="15" x14ac:dyDescent="0.4">
      <c r="A419" s="169">
        <f t="shared" si="58"/>
        <v>408</v>
      </c>
      <c r="B419" s="142" t="s">
        <v>758</v>
      </c>
      <c r="C419" s="239">
        <v>1</v>
      </c>
      <c r="D419" s="240" t="s">
        <v>31</v>
      </c>
      <c r="E419" s="245">
        <f t="shared" si="57"/>
        <v>20964.434999999998</v>
      </c>
      <c r="F419" s="178">
        <f t="shared" ref="F419" si="59">C419*E419</f>
        <v>20964.434999999998</v>
      </c>
      <c r="G419" s="177">
        <f t="shared" si="56"/>
        <v>83857.739999999991</v>
      </c>
      <c r="H419" s="178">
        <f t="shared" ref="H419" si="60">C419*G419</f>
        <v>83857.739999999991</v>
      </c>
      <c r="I419" s="177">
        <f t="shared" ref="I419" si="61">E419+G419</f>
        <v>104822.17499999999</v>
      </c>
      <c r="J419" s="179">
        <f t="shared" ref="J419" si="62">I419*C419</f>
        <v>104822.17499999999</v>
      </c>
      <c r="K419" s="180"/>
      <c r="L419" s="180"/>
      <c r="M419" s="181">
        <v>19501.8</v>
      </c>
      <c r="N419" s="181">
        <v>78007.199999999997</v>
      </c>
      <c r="P419" s="180"/>
    </row>
    <row r="420" spans="1:16" x14ac:dyDescent="0.35">
      <c r="A420" s="169">
        <f t="shared" si="58"/>
        <v>409</v>
      </c>
      <c r="B420" s="9"/>
      <c r="C420" s="11"/>
      <c r="D420" s="10"/>
      <c r="E420" s="17"/>
      <c r="F420" s="17"/>
      <c r="G420" s="17">
        <f t="shared" si="56"/>
        <v>0</v>
      </c>
      <c r="H420" s="17"/>
      <c r="I420" s="73"/>
      <c r="J420" s="18"/>
      <c r="M420" s="181">
        <v>0</v>
      </c>
      <c r="N420" s="181">
        <v>0</v>
      </c>
    </row>
    <row r="421" spans="1:16" x14ac:dyDescent="0.35">
      <c r="A421" s="169">
        <f t="shared" si="58"/>
        <v>410</v>
      </c>
      <c r="B421" s="9"/>
      <c r="C421" s="11"/>
      <c r="D421" s="10"/>
      <c r="E421" s="17"/>
      <c r="F421" s="20" t="s">
        <v>6</v>
      </c>
      <c r="G421" s="17">
        <f t="shared" si="56"/>
        <v>0</v>
      </c>
      <c r="H421" s="20" t="s">
        <v>6</v>
      </c>
      <c r="I421" s="73"/>
      <c r="J421" s="20" t="s">
        <v>6</v>
      </c>
      <c r="M421" s="181">
        <v>0</v>
      </c>
      <c r="N421" s="181">
        <v>0</v>
      </c>
    </row>
    <row r="422" spans="1:16" x14ac:dyDescent="0.35">
      <c r="A422" s="169">
        <f t="shared" si="58"/>
        <v>411</v>
      </c>
      <c r="B422" s="13" t="str">
        <f>"Subtotal " &amp; B418</f>
        <v>Subtotal 02-00-10 Abatement</v>
      </c>
      <c r="C422" s="11"/>
      <c r="D422" s="10"/>
      <c r="E422" s="17"/>
      <c r="F422" s="15">
        <f>SUM(F418:F421)</f>
        <v>20964.434999999998</v>
      </c>
      <c r="G422" s="17">
        <f t="shared" si="56"/>
        <v>0</v>
      </c>
      <c r="H422" s="15">
        <f>SUM(H418:H421)</f>
        <v>83857.739999999991</v>
      </c>
      <c r="I422" s="73"/>
      <c r="J422" s="15">
        <f>SUM(J418:J421)</f>
        <v>104822.17499999999</v>
      </c>
      <c r="M422" s="181">
        <v>0</v>
      </c>
      <c r="N422" s="181">
        <v>0</v>
      </c>
    </row>
    <row r="423" spans="1:16" x14ac:dyDescent="0.35">
      <c r="A423" s="169">
        <f t="shared" si="58"/>
        <v>412</v>
      </c>
      <c r="B423" s="13"/>
      <c r="C423" s="11"/>
      <c r="D423" s="10"/>
      <c r="E423" s="17"/>
      <c r="F423" s="15"/>
      <c r="G423" s="17">
        <f t="shared" si="56"/>
        <v>0</v>
      </c>
      <c r="H423" s="15"/>
      <c r="I423" s="73"/>
      <c r="J423" s="15"/>
      <c r="M423" s="181">
        <v>0</v>
      </c>
      <c r="N423" s="181">
        <v>0</v>
      </c>
    </row>
    <row r="424" spans="1:16" x14ac:dyDescent="0.35">
      <c r="A424" s="170" t="s">
        <v>60</v>
      </c>
      <c r="B424" s="43"/>
      <c r="C424" s="46"/>
      <c r="D424" s="44"/>
      <c r="E424" s="45"/>
      <c r="F424" s="45"/>
      <c r="G424" s="45"/>
      <c r="H424" s="45"/>
      <c r="I424" s="75"/>
      <c r="J424" s="47"/>
      <c r="M424" s="181"/>
      <c r="N424" s="181"/>
    </row>
    <row r="425" spans="1:16" x14ac:dyDescent="0.35">
      <c r="J425" s="246"/>
      <c r="M425" s="181"/>
      <c r="N425" s="181"/>
    </row>
    <row r="427" spans="1:16" x14ac:dyDescent="0.35">
      <c r="F427" s="16">
        <f>SUMPRODUCT(E14:E423,C14:C423)</f>
        <v>3338950.4094236391</v>
      </c>
      <c r="H427" s="16">
        <f>SUMPRODUCT(G14:G423,C14:C423)</f>
        <v>4452186.1120601222</v>
      </c>
      <c r="J427" s="16">
        <f>SUMPRODUCT(I14:I423,C14:C423)</f>
        <v>7791136.5214837575</v>
      </c>
    </row>
    <row r="428" spans="1:16" x14ac:dyDescent="0.35">
      <c r="F428" s="90">
        <f>SUM(F14:F423)/2</f>
        <v>3338950.4094236423</v>
      </c>
      <c r="H428" s="90">
        <f>SUM(H14:H423)/2</f>
        <v>4452186.1120601194</v>
      </c>
      <c r="J428" s="90">
        <f>SUM(J14:J423)/2</f>
        <v>7791136.5214837631</v>
      </c>
    </row>
    <row r="429" spans="1:16" x14ac:dyDescent="0.35">
      <c r="F429" s="16">
        <f>F427-F428</f>
        <v>0</v>
      </c>
    </row>
  </sheetData>
  <mergeCells count="7">
    <mergeCell ref="I10:J10"/>
    <mergeCell ref="A10:A11"/>
    <mergeCell ref="B10:B11"/>
    <mergeCell ref="C10:C11"/>
    <mergeCell ref="D10:D11"/>
    <mergeCell ref="E10:F10"/>
    <mergeCell ref="G10:H10"/>
  </mergeCells>
  <pageMargins left="0.7" right="0.7" top="0.75" bottom="0.75" header="0.3" footer="0.3"/>
  <pageSetup scale="70" orientation="landscape" r:id="rId1"/>
  <headerFooter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3BFB-FF59-4C6C-A66B-B1E0F1FBE0F2}">
  <dimension ref="B1:I37"/>
  <sheetViews>
    <sheetView view="pageBreakPreview" topLeftCell="A4" zoomScale="89" zoomScaleNormal="100" zoomScaleSheetLayoutView="89" workbookViewId="0">
      <selection activeCell="A25" sqref="A25"/>
    </sheetView>
  </sheetViews>
  <sheetFormatPr defaultColWidth="8.86328125" defaultRowHeight="13.15" x14ac:dyDescent="0.45"/>
  <cols>
    <col min="1" max="1" width="6.6640625" style="76" customWidth="1"/>
    <col min="2" max="2" width="6.86328125" style="76" customWidth="1"/>
    <col min="3" max="3" width="70.46484375" style="76" bestFit="1" customWidth="1"/>
    <col min="4" max="4" width="64" style="76" customWidth="1"/>
    <col min="5" max="6" width="39.53125" style="76" hidden="1" customWidth="1"/>
    <col min="7" max="7" width="64" style="76" hidden="1" customWidth="1"/>
    <col min="8" max="8" width="29.1328125" style="285" customWidth="1"/>
    <col min="9" max="9" width="3.33203125" style="76" customWidth="1"/>
    <col min="10" max="16384" width="8.86328125" style="76"/>
  </cols>
  <sheetData>
    <row r="1" spans="2:9" s="2" customFormat="1" ht="13.5" x14ac:dyDescent="0.35">
      <c r="H1" s="281"/>
    </row>
    <row r="2" spans="2:9" s="2" customFormat="1" ht="13.5" x14ac:dyDescent="0.35">
      <c r="H2" s="281"/>
    </row>
    <row r="3" spans="2:9" s="2" customFormat="1" ht="13.5" x14ac:dyDescent="0.35">
      <c r="H3" s="281"/>
    </row>
    <row r="4" spans="2:9" s="2" customFormat="1" ht="13.5" x14ac:dyDescent="0.35">
      <c r="B4" s="119" t="s">
        <v>65</v>
      </c>
      <c r="D4" s="14"/>
      <c r="E4" s="14"/>
      <c r="F4" s="14"/>
      <c r="G4" s="22">
        <f>TITLE!A24</f>
        <v>44263</v>
      </c>
      <c r="H4" s="281"/>
    </row>
    <row r="5" spans="2:9" s="2" customFormat="1" ht="13.5" x14ac:dyDescent="0.35">
      <c r="B5" s="119" t="s">
        <v>67</v>
      </c>
      <c r="H5" s="280">
        <f>TITLE!A24</f>
        <v>44263</v>
      </c>
    </row>
    <row r="6" spans="2:9" s="2" customFormat="1" ht="13.5" x14ac:dyDescent="0.35">
      <c r="B6" s="119"/>
      <c r="H6" s="281"/>
    </row>
    <row r="7" spans="2:9" ht="12.6" customHeight="1" x14ac:dyDescent="0.45">
      <c r="B7" s="314"/>
      <c r="C7" s="314"/>
      <c r="D7" s="314"/>
      <c r="E7" s="314"/>
      <c r="F7" s="314"/>
      <c r="G7" s="314"/>
      <c r="H7" s="314"/>
      <c r="I7" s="314"/>
    </row>
    <row r="8" spans="2:9" ht="12" customHeight="1" x14ac:dyDescent="0.45">
      <c r="B8" s="315" t="s">
        <v>211</v>
      </c>
      <c r="C8" s="315"/>
      <c r="D8" s="315"/>
      <c r="E8" s="315"/>
      <c r="F8" s="315"/>
      <c r="G8" s="315"/>
      <c r="H8" s="315"/>
      <c r="I8" s="315"/>
    </row>
    <row r="9" spans="2:9" ht="12" customHeight="1" x14ac:dyDescent="0.45">
      <c r="B9" s="120"/>
      <c r="C9" s="120"/>
      <c r="D9" s="120"/>
      <c r="E9" s="120"/>
      <c r="F9" s="120"/>
      <c r="G9" s="120"/>
      <c r="H9" s="282"/>
      <c r="I9" s="120"/>
    </row>
    <row r="10" spans="2:9" ht="22.25" customHeight="1" x14ac:dyDescent="0.45">
      <c r="B10" s="316" t="s">
        <v>212</v>
      </c>
      <c r="C10" s="318" t="s">
        <v>213</v>
      </c>
      <c r="D10" s="318" t="s">
        <v>214</v>
      </c>
      <c r="E10" s="320" t="s">
        <v>215</v>
      </c>
      <c r="F10" s="321"/>
      <c r="G10" s="322" t="s">
        <v>216</v>
      </c>
      <c r="H10" s="324" t="s">
        <v>183</v>
      </c>
      <c r="I10" s="106"/>
    </row>
    <row r="11" spans="2:9" ht="22.25" customHeight="1" x14ac:dyDescent="0.45">
      <c r="B11" s="317"/>
      <c r="C11" s="319"/>
      <c r="D11" s="319"/>
      <c r="E11" s="107" t="s">
        <v>217</v>
      </c>
      <c r="F11" s="108" t="s">
        <v>218</v>
      </c>
      <c r="G11" s="323"/>
      <c r="H11" s="325"/>
      <c r="I11" s="106"/>
    </row>
    <row r="12" spans="2:9" ht="14.75" customHeight="1" x14ac:dyDescent="0.45">
      <c r="B12" s="309" t="s">
        <v>219</v>
      </c>
      <c r="C12" s="310"/>
      <c r="D12" s="310"/>
      <c r="E12" s="310"/>
      <c r="F12" s="310"/>
      <c r="G12" s="313"/>
      <c r="H12" s="283"/>
      <c r="I12" s="106"/>
    </row>
    <row r="13" spans="2:9" ht="32.75" customHeight="1" x14ac:dyDescent="0.45">
      <c r="B13" s="274" t="s">
        <v>811</v>
      </c>
      <c r="C13" s="110" t="s">
        <v>220</v>
      </c>
      <c r="D13" s="110" t="s">
        <v>221</v>
      </c>
      <c r="E13" s="111" t="s">
        <v>222</v>
      </c>
      <c r="F13" s="112" t="s">
        <v>223</v>
      </c>
      <c r="G13" s="113" t="s">
        <v>224</v>
      </c>
      <c r="H13" s="284">
        <f>'ECM-EST'!F28</f>
        <v>336271.33774080011</v>
      </c>
      <c r="I13" s="106"/>
    </row>
    <row r="14" spans="2:9" ht="32.75" customHeight="1" x14ac:dyDescent="0.45">
      <c r="B14" s="275" t="s">
        <v>812</v>
      </c>
      <c r="C14" s="110" t="s">
        <v>225</v>
      </c>
      <c r="D14" s="111" t="s">
        <v>226</v>
      </c>
      <c r="E14" s="111" t="s">
        <v>222</v>
      </c>
      <c r="F14" s="112" t="s">
        <v>227</v>
      </c>
      <c r="G14" s="113" t="s">
        <v>228</v>
      </c>
      <c r="H14" s="284">
        <f>'ECM-EST'!F41</f>
        <v>506378.580278876</v>
      </c>
      <c r="I14" s="106"/>
    </row>
    <row r="15" spans="2:9" ht="27" x14ac:dyDescent="0.45">
      <c r="B15" s="276" t="s">
        <v>813</v>
      </c>
      <c r="C15" s="127" t="s">
        <v>296</v>
      </c>
      <c r="D15" s="111" t="s">
        <v>229</v>
      </c>
      <c r="E15" s="112" t="s">
        <v>230</v>
      </c>
      <c r="F15" s="114" t="s">
        <v>231</v>
      </c>
      <c r="G15" s="115"/>
      <c r="H15" s="284">
        <f>'ECM-EST'!F54</f>
        <v>206022.63546505012</v>
      </c>
      <c r="I15" s="106"/>
    </row>
    <row r="16" spans="2:9" ht="32.75" customHeight="1" x14ac:dyDescent="0.45">
      <c r="B16" s="275" t="s">
        <v>814</v>
      </c>
      <c r="C16" s="110" t="s">
        <v>232</v>
      </c>
      <c r="D16" s="111" t="s">
        <v>233</v>
      </c>
      <c r="E16" s="112" t="s">
        <v>234</v>
      </c>
      <c r="F16" s="116" t="s">
        <v>235</v>
      </c>
      <c r="G16" s="115"/>
      <c r="H16" s="284">
        <f>'ECM-EST'!F66</f>
        <v>315529.54808760009</v>
      </c>
      <c r="I16" s="106"/>
    </row>
    <row r="17" spans="2:9" ht="32.75" customHeight="1" x14ac:dyDescent="0.45">
      <c r="B17" s="275" t="s">
        <v>815</v>
      </c>
      <c r="C17" s="110" t="s">
        <v>236</v>
      </c>
      <c r="D17" s="110" t="s">
        <v>237</v>
      </c>
      <c r="E17" s="111" t="s">
        <v>238</v>
      </c>
      <c r="F17" s="116" t="s">
        <v>239</v>
      </c>
      <c r="G17" s="115"/>
      <c r="H17" s="284">
        <f>'ECM-EST'!F80</f>
        <v>342350.02463621105</v>
      </c>
      <c r="I17" s="106"/>
    </row>
    <row r="18" spans="2:9" ht="27" x14ac:dyDescent="0.45">
      <c r="B18" s="276" t="s">
        <v>816</v>
      </c>
      <c r="C18" s="111" t="s">
        <v>240</v>
      </c>
      <c r="D18" s="111" t="s">
        <v>241</v>
      </c>
      <c r="E18" s="112" t="s">
        <v>242</v>
      </c>
      <c r="F18" s="114" t="s">
        <v>243</v>
      </c>
      <c r="G18" s="115"/>
      <c r="H18" s="284">
        <f>'ECM-EST'!F89</f>
        <v>63253.162193760014</v>
      </c>
      <c r="I18" s="106"/>
    </row>
    <row r="19" spans="2:9" ht="21.75" customHeight="1" x14ac:dyDescent="0.45">
      <c r="B19" s="276" t="s">
        <v>817</v>
      </c>
      <c r="C19" s="111" t="s">
        <v>244</v>
      </c>
      <c r="D19" s="115"/>
      <c r="E19" s="114" t="s">
        <v>245</v>
      </c>
      <c r="F19" s="111" t="s">
        <v>246</v>
      </c>
      <c r="G19" s="113" t="s">
        <v>247</v>
      </c>
      <c r="H19" s="284">
        <f>'ECM-EST'!F98</f>
        <v>45211.003104960015</v>
      </c>
      <c r="I19" s="106"/>
    </row>
    <row r="20" spans="2:9" ht="14.75" customHeight="1" x14ac:dyDescent="0.45">
      <c r="B20" s="309" t="s">
        <v>248</v>
      </c>
      <c r="C20" s="310"/>
      <c r="D20" s="310"/>
      <c r="E20" s="310"/>
      <c r="F20" s="310"/>
      <c r="G20" s="313"/>
      <c r="H20" s="283"/>
      <c r="I20" s="106"/>
    </row>
    <row r="21" spans="2:9" ht="43.25" customHeight="1" x14ac:dyDescent="0.45">
      <c r="B21" s="275" t="s">
        <v>818</v>
      </c>
      <c r="C21" s="271" t="s">
        <v>798</v>
      </c>
      <c r="D21" s="110" t="s">
        <v>249</v>
      </c>
      <c r="E21" s="110" t="s">
        <v>250</v>
      </c>
      <c r="F21" s="110" t="s">
        <v>251</v>
      </c>
      <c r="G21" s="112" t="s">
        <v>252</v>
      </c>
      <c r="H21" s="284">
        <f>'ECM-EST'!F170</f>
        <v>262472.55040354625</v>
      </c>
      <c r="I21" s="106"/>
    </row>
    <row r="22" spans="2:9" ht="43.25" customHeight="1" x14ac:dyDescent="0.45">
      <c r="B22" s="275" t="s">
        <v>819</v>
      </c>
      <c r="C22" s="271" t="s">
        <v>799</v>
      </c>
      <c r="D22" s="110" t="s">
        <v>249</v>
      </c>
      <c r="E22" s="110" t="s">
        <v>250</v>
      </c>
      <c r="F22" s="110" t="s">
        <v>251</v>
      </c>
      <c r="G22" s="112" t="s">
        <v>252</v>
      </c>
      <c r="H22" s="284">
        <f>'ECM-EST'!F243</f>
        <v>14790.96012367111</v>
      </c>
      <c r="I22" s="106"/>
    </row>
    <row r="23" spans="2:9" ht="32.75" customHeight="1" x14ac:dyDescent="0.45">
      <c r="B23" s="109" t="s">
        <v>820</v>
      </c>
      <c r="C23" s="111" t="s">
        <v>253</v>
      </c>
      <c r="D23" s="111" t="s">
        <v>254</v>
      </c>
      <c r="E23" s="111" t="s">
        <v>250</v>
      </c>
      <c r="F23" s="111" t="s">
        <v>255</v>
      </c>
      <c r="G23" s="115"/>
      <c r="H23" s="284" t="s">
        <v>870</v>
      </c>
      <c r="I23" s="106"/>
    </row>
    <row r="24" spans="2:9" ht="14.75" customHeight="1" x14ac:dyDescent="0.45">
      <c r="B24" s="309" t="s">
        <v>256</v>
      </c>
      <c r="C24" s="310"/>
      <c r="D24" s="310"/>
      <c r="E24" s="310"/>
      <c r="F24" s="310"/>
      <c r="G24" s="313"/>
      <c r="H24" s="283"/>
      <c r="I24" s="106"/>
    </row>
    <row r="25" spans="2:9" ht="32.75" customHeight="1" x14ac:dyDescent="0.45">
      <c r="B25" s="275" t="s">
        <v>821</v>
      </c>
      <c r="C25" s="110" t="s">
        <v>257</v>
      </c>
      <c r="D25" s="111" t="s">
        <v>258</v>
      </c>
      <c r="E25" s="116" t="s">
        <v>245</v>
      </c>
      <c r="F25" s="111" t="s">
        <v>259</v>
      </c>
      <c r="G25" s="115"/>
      <c r="H25" s="284">
        <f>'ECM-EST'!F281</f>
        <v>158838.36871183678</v>
      </c>
      <c r="I25" s="106"/>
    </row>
    <row r="26" spans="2:9" ht="32.75" customHeight="1" x14ac:dyDescent="0.45">
      <c r="B26" s="275" t="s">
        <v>822</v>
      </c>
      <c r="C26" s="110" t="s">
        <v>260</v>
      </c>
      <c r="D26" s="111" t="s">
        <v>261</v>
      </c>
      <c r="E26" s="116" t="s">
        <v>245</v>
      </c>
      <c r="F26" s="113" t="s">
        <v>262</v>
      </c>
      <c r="G26" s="115"/>
      <c r="H26" s="284" t="s">
        <v>789</v>
      </c>
      <c r="I26" s="106"/>
    </row>
    <row r="27" spans="2:9" ht="14.75" customHeight="1" x14ac:dyDescent="0.45">
      <c r="B27" s="309" t="s">
        <v>263</v>
      </c>
      <c r="C27" s="310"/>
      <c r="D27" s="310"/>
      <c r="E27" s="310"/>
      <c r="F27" s="310"/>
      <c r="G27" s="313"/>
      <c r="H27" s="283"/>
      <c r="I27" s="106"/>
    </row>
    <row r="28" spans="2:9" ht="40.5" x14ac:dyDescent="0.45">
      <c r="B28" s="117" t="s">
        <v>823</v>
      </c>
      <c r="C28" s="110" t="s">
        <v>264</v>
      </c>
      <c r="D28" s="286" t="s">
        <v>874</v>
      </c>
      <c r="E28" s="287" t="s">
        <v>245</v>
      </c>
      <c r="F28" s="287" t="s">
        <v>265</v>
      </c>
      <c r="G28" s="288" t="s">
        <v>266</v>
      </c>
      <c r="H28" s="289" t="s">
        <v>789</v>
      </c>
      <c r="I28" s="106"/>
    </row>
    <row r="29" spans="2:9" ht="15" customHeight="1" x14ac:dyDescent="0.45">
      <c r="B29" s="309" t="s">
        <v>267</v>
      </c>
      <c r="C29" s="310"/>
      <c r="D29" s="311"/>
      <c r="E29" s="311"/>
      <c r="F29" s="311"/>
      <c r="G29" s="312"/>
      <c r="H29" s="283"/>
      <c r="I29" s="106"/>
    </row>
    <row r="30" spans="2:9" ht="27" x14ac:dyDescent="0.45">
      <c r="B30" s="277" t="s">
        <v>824</v>
      </c>
      <c r="C30" s="111" t="s">
        <v>268</v>
      </c>
      <c r="D30" s="111" t="s">
        <v>269</v>
      </c>
      <c r="E30" s="114" t="s">
        <v>270</v>
      </c>
      <c r="F30" s="111" t="s">
        <v>271</v>
      </c>
      <c r="G30" s="115"/>
      <c r="H30" s="284" t="s">
        <v>868</v>
      </c>
      <c r="I30" s="106"/>
    </row>
    <row r="31" spans="2:9" ht="33.6" customHeight="1" x14ac:dyDescent="0.45">
      <c r="B31" s="278" t="s">
        <v>825</v>
      </c>
      <c r="C31" s="118" t="s">
        <v>205</v>
      </c>
      <c r="D31" s="110" t="s">
        <v>272</v>
      </c>
      <c r="E31" s="110" t="s">
        <v>270</v>
      </c>
      <c r="F31" s="116" t="s">
        <v>273</v>
      </c>
      <c r="G31" s="112"/>
      <c r="H31" s="284" t="s">
        <v>868</v>
      </c>
      <c r="I31" s="106"/>
    </row>
    <row r="32" spans="2:9" ht="40.5" x14ac:dyDescent="0.45">
      <c r="B32" s="278" t="s">
        <v>826</v>
      </c>
      <c r="C32" s="118" t="s">
        <v>206</v>
      </c>
      <c r="D32" s="110" t="s">
        <v>274</v>
      </c>
      <c r="E32" s="110" t="s">
        <v>270</v>
      </c>
      <c r="F32" s="116" t="s">
        <v>273</v>
      </c>
      <c r="G32" s="112"/>
      <c r="H32" s="284" t="s">
        <v>868</v>
      </c>
      <c r="I32" s="106"/>
    </row>
    <row r="33" spans="2:9" ht="14.75" customHeight="1" x14ac:dyDescent="0.45">
      <c r="B33" s="309" t="s">
        <v>275</v>
      </c>
      <c r="C33" s="310"/>
      <c r="D33" s="310"/>
      <c r="E33" s="310"/>
      <c r="F33" s="310"/>
      <c r="G33" s="313"/>
      <c r="H33" s="283"/>
      <c r="I33" s="106"/>
    </row>
    <row r="34" spans="2:9" ht="21.75" customHeight="1" x14ac:dyDescent="0.45">
      <c r="B34" s="277" t="s">
        <v>827</v>
      </c>
      <c r="C34" s="111" t="s">
        <v>276</v>
      </c>
      <c r="D34" s="111" t="s">
        <v>277</v>
      </c>
      <c r="E34" s="111" t="s">
        <v>278</v>
      </c>
      <c r="F34" s="111" t="s">
        <v>279</v>
      </c>
      <c r="G34" s="115"/>
      <c r="H34" s="284">
        <f>'ECM-EST'!F290</f>
        <v>166886.25307200005</v>
      </c>
      <c r="I34" s="106"/>
    </row>
    <row r="35" spans="2:9" ht="27" x14ac:dyDescent="0.45">
      <c r="B35" s="277" t="s">
        <v>828</v>
      </c>
      <c r="C35" s="111" t="s">
        <v>280</v>
      </c>
      <c r="D35" s="111" t="s">
        <v>281</v>
      </c>
      <c r="E35" s="115"/>
      <c r="F35" s="114" t="s">
        <v>280</v>
      </c>
      <c r="G35" s="115"/>
      <c r="H35" s="284" t="s">
        <v>869</v>
      </c>
      <c r="I35" s="106"/>
    </row>
    <row r="36" spans="2:9" ht="14.75" customHeight="1" x14ac:dyDescent="0.45">
      <c r="B36" s="309" t="s">
        <v>282</v>
      </c>
      <c r="C36" s="310"/>
      <c r="D36" s="310"/>
      <c r="E36" s="310"/>
      <c r="F36" s="310"/>
      <c r="G36" s="313"/>
      <c r="H36" s="283"/>
      <c r="I36" s="106"/>
    </row>
    <row r="37" spans="2:9" ht="33.5" customHeight="1" x14ac:dyDescent="0.45">
      <c r="B37" s="278" t="s">
        <v>829</v>
      </c>
      <c r="C37" s="115" t="s">
        <v>283</v>
      </c>
      <c r="D37" s="112" t="s">
        <v>284</v>
      </c>
      <c r="E37" s="115"/>
      <c r="F37" s="112" t="s">
        <v>285</v>
      </c>
      <c r="G37" s="115"/>
      <c r="H37" s="284">
        <f>'ECM-EST'!F299</f>
        <v>13014.747900000004</v>
      </c>
      <c r="I37" s="106"/>
    </row>
  </sheetData>
  <mergeCells count="15">
    <mergeCell ref="B29:G29"/>
    <mergeCell ref="B33:G33"/>
    <mergeCell ref="B36:G36"/>
    <mergeCell ref="B7:I7"/>
    <mergeCell ref="B8:I8"/>
    <mergeCell ref="B10:B11"/>
    <mergeCell ref="C10:C11"/>
    <mergeCell ref="D10:D11"/>
    <mergeCell ref="E10:F10"/>
    <mergeCell ref="G10:G11"/>
    <mergeCell ref="H10:H11"/>
    <mergeCell ref="B12:G12"/>
    <mergeCell ref="B20:G20"/>
    <mergeCell ref="B24:G24"/>
    <mergeCell ref="B27:G27"/>
  </mergeCells>
  <pageMargins left="0.7" right="0.7" top="0.75" bottom="0.75" header="0.3" footer="0.3"/>
  <pageSetup paperSize="3" fitToWidth="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47C5-64F8-4591-BE7C-51046222E08D}">
  <sheetPr>
    <pageSetUpPr fitToPage="1"/>
  </sheetPr>
  <dimension ref="A1:H35"/>
  <sheetViews>
    <sheetView zoomScaleNormal="100" workbookViewId="0">
      <selection activeCell="C12" sqref="C12"/>
    </sheetView>
  </sheetViews>
  <sheetFormatPr defaultColWidth="8.86328125" defaultRowHeight="13.15" x14ac:dyDescent="0.45"/>
  <cols>
    <col min="1" max="1" width="6.86328125" style="76" customWidth="1"/>
    <col min="2" max="2" width="40.6640625" style="76" customWidth="1"/>
    <col min="3" max="3" width="64" style="76" customWidth="1"/>
    <col min="4" max="5" width="39.53125" style="76" customWidth="1"/>
    <col min="6" max="6" width="64" style="76" customWidth="1"/>
    <col min="7" max="7" width="16.53125" style="76" customWidth="1"/>
    <col min="8" max="8" width="3.33203125" style="76" customWidth="1"/>
    <col min="9" max="16384" width="8.86328125" style="76"/>
  </cols>
  <sheetData>
    <row r="1" spans="1:8" s="2" customFormat="1" ht="13.5" x14ac:dyDescent="0.35"/>
    <row r="2" spans="1:8" s="2" customFormat="1" ht="13.5" x14ac:dyDescent="0.35"/>
    <row r="3" spans="1:8" s="2" customFormat="1" ht="13.5" x14ac:dyDescent="0.35"/>
    <row r="4" spans="1:8" s="2" customFormat="1" ht="13.5" x14ac:dyDescent="0.35">
      <c r="B4" s="2" t="str">
        <f>TITLE!A14</f>
        <v>COLLEGE OF TECHNOLOGY AT FARMINGDALE</v>
      </c>
      <c r="C4" s="14"/>
      <c r="D4" s="14"/>
      <c r="E4" s="14"/>
      <c r="F4" s="22">
        <f>TITLE!A24</f>
        <v>44263</v>
      </c>
    </row>
    <row r="5" spans="1:8" s="2" customFormat="1" ht="13.5" x14ac:dyDescent="0.35">
      <c r="B5" s="2" t="str">
        <f>TITLE!A17</f>
        <v>NET ZERO CARBON STUDY</v>
      </c>
    </row>
    <row r="6" spans="1:8" s="2" customFormat="1" ht="13.5" x14ac:dyDescent="0.35">
      <c r="B6" s="2" t="str">
        <f>TITLE!A21</f>
        <v>Concept Estimate</v>
      </c>
    </row>
    <row r="7" spans="1:8" ht="32.75" customHeight="1" x14ac:dyDescent="0.45">
      <c r="A7" s="314" t="s">
        <v>182</v>
      </c>
      <c r="B7" s="314"/>
      <c r="C7" s="314"/>
      <c r="D7" s="314"/>
      <c r="E7" s="314"/>
      <c r="F7" s="314"/>
      <c r="G7" s="314"/>
      <c r="H7" s="314"/>
    </row>
    <row r="8" spans="1:8" ht="12" customHeight="1" x14ac:dyDescent="0.45">
      <c r="A8" s="335" t="s">
        <v>181</v>
      </c>
      <c r="B8" s="335"/>
      <c r="C8" s="335"/>
      <c r="D8" s="335"/>
      <c r="E8" s="335"/>
      <c r="F8" s="335"/>
      <c r="G8" s="335"/>
      <c r="H8" s="335"/>
    </row>
    <row r="9" spans="1:8" ht="22.25" customHeight="1" x14ac:dyDescent="0.45">
      <c r="A9" s="336" t="s">
        <v>180</v>
      </c>
      <c r="B9" s="338" t="s">
        <v>179</v>
      </c>
      <c r="C9" s="338" t="s">
        <v>178</v>
      </c>
      <c r="D9" s="340" t="s">
        <v>177</v>
      </c>
      <c r="E9" s="341"/>
      <c r="F9" s="342" t="s">
        <v>176</v>
      </c>
      <c r="G9" s="344" t="s">
        <v>183</v>
      </c>
    </row>
    <row r="10" spans="1:8" ht="22.25" customHeight="1" x14ac:dyDescent="0.45">
      <c r="A10" s="337"/>
      <c r="B10" s="339"/>
      <c r="C10" s="339"/>
      <c r="D10" s="84" t="s">
        <v>175</v>
      </c>
      <c r="E10" s="83" t="s">
        <v>174</v>
      </c>
      <c r="F10" s="343"/>
      <c r="G10" s="343"/>
    </row>
    <row r="11" spans="1:8" ht="14.75" customHeight="1" x14ac:dyDescent="0.45">
      <c r="A11" s="329" t="s">
        <v>173</v>
      </c>
      <c r="B11" s="330"/>
      <c r="C11" s="330"/>
      <c r="D11" s="330"/>
      <c r="E11" s="330"/>
      <c r="F11" s="331"/>
      <c r="G11" s="87"/>
    </row>
    <row r="12" spans="1:8" ht="32.75" customHeight="1" x14ac:dyDescent="0.45">
      <c r="A12" s="94" t="s">
        <v>186</v>
      </c>
      <c r="B12" s="82" t="s">
        <v>172</v>
      </c>
      <c r="C12" s="82" t="s">
        <v>171</v>
      </c>
      <c r="D12" s="80" t="s">
        <v>166</v>
      </c>
      <c r="E12" s="78" t="s">
        <v>170</v>
      </c>
      <c r="F12" s="86" t="s">
        <v>169</v>
      </c>
      <c r="G12" s="105">
        <f>'ECM-EST'!F28</f>
        <v>336271.33774080011</v>
      </c>
    </row>
    <row r="13" spans="1:8" ht="32.75" customHeight="1" x14ac:dyDescent="0.45">
      <c r="A13" s="94" t="s">
        <v>187</v>
      </c>
      <c r="B13" s="82" t="s">
        <v>168</v>
      </c>
      <c r="C13" s="80" t="s">
        <v>167</v>
      </c>
      <c r="D13" s="80" t="s">
        <v>166</v>
      </c>
      <c r="E13" s="78" t="s">
        <v>165</v>
      </c>
      <c r="F13" s="86" t="s">
        <v>164</v>
      </c>
      <c r="G13" s="105">
        <f>'ECM-EST'!F41</f>
        <v>506378.580278876</v>
      </c>
    </row>
    <row r="14" spans="1:8" ht="24" customHeight="1" x14ac:dyDescent="0.45">
      <c r="A14" s="95" t="s">
        <v>188</v>
      </c>
      <c r="B14" s="80" t="s">
        <v>163</v>
      </c>
      <c r="C14" s="80" t="s">
        <v>162</v>
      </c>
      <c r="D14" s="78" t="s">
        <v>161</v>
      </c>
      <c r="E14" s="79" t="s">
        <v>160</v>
      </c>
      <c r="F14" s="77"/>
      <c r="G14" s="105">
        <f>'ECM-EST'!F54</f>
        <v>206022.63546505012</v>
      </c>
    </row>
    <row r="15" spans="1:8" ht="32.75" customHeight="1" x14ac:dyDescent="0.45">
      <c r="A15" s="94" t="s">
        <v>189</v>
      </c>
      <c r="B15" s="82" t="s">
        <v>159</v>
      </c>
      <c r="C15" s="80" t="s">
        <v>158</v>
      </c>
      <c r="D15" s="78" t="s">
        <v>157</v>
      </c>
      <c r="E15" s="81" t="s">
        <v>156</v>
      </c>
      <c r="F15" s="77"/>
      <c r="G15" s="105">
        <f>'ECM-EST'!F66</f>
        <v>315529.54808760009</v>
      </c>
    </row>
    <row r="16" spans="1:8" ht="32.75" customHeight="1" x14ac:dyDescent="0.45">
      <c r="A16" s="94" t="s">
        <v>190</v>
      </c>
      <c r="B16" s="82" t="s">
        <v>155</v>
      </c>
      <c r="C16" s="82" t="s">
        <v>154</v>
      </c>
      <c r="D16" s="80" t="s">
        <v>153</v>
      </c>
      <c r="E16" s="81" t="s">
        <v>152</v>
      </c>
      <c r="F16" s="77"/>
      <c r="G16" s="105">
        <f>'ECM-EST'!F80</f>
        <v>342350.02463621105</v>
      </c>
    </row>
    <row r="17" spans="1:7" ht="21.75" customHeight="1" x14ac:dyDescent="0.45">
      <c r="A17" s="95" t="s">
        <v>191</v>
      </c>
      <c r="B17" s="80" t="s">
        <v>151</v>
      </c>
      <c r="C17" s="80" t="s">
        <v>150</v>
      </c>
      <c r="D17" s="78" t="s">
        <v>149</v>
      </c>
      <c r="E17" s="79" t="s">
        <v>148</v>
      </c>
      <c r="F17" s="77"/>
      <c r="G17" s="105">
        <f>'ECM-EST'!F89</f>
        <v>63253.162193760014</v>
      </c>
    </row>
    <row r="18" spans="1:7" ht="21.75" customHeight="1" x14ac:dyDescent="0.45">
      <c r="A18" s="95" t="s">
        <v>192</v>
      </c>
      <c r="B18" s="80" t="s">
        <v>147</v>
      </c>
      <c r="C18" s="77"/>
      <c r="D18" s="79" t="s">
        <v>125</v>
      </c>
      <c r="E18" s="80" t="s">
        <v>146</v>
      </c>
      <c r="F18" s="86" t="s">
        <v>145</v>
      </c>
      <c r="G18" s="105">
        <f>'ECM-EST'!F98</f>
        <v>45211.003104960015</v>
      </c>
    </row>
    <row r="19" spans="1:7" ht="14.75" customHeight="1" x14ac:dyDescent="0.45">
      <c r="A19" s="329" t="s">
        <v>144</v>
      </c>
      <c r="B19" s="330"/>
      <c r="C19" s="330"/>
      <c r="D19" s="330"/>
      <c r="E19" s="330"/>
      <c r="F19" s="331"/>
      <c r="G19" s="87"/>
    </row>
    <row r="20" spans="1:7" ht="196.5" customHeight="1" x14ac:dyDescent="0.45">
      <c r="A20" s="96" t="s">
        <v>193</v>
      </c>
      <c r="B20" s="82" t="s">
        <v>143</v>
      </c>
      <c r="C20" s="82" t="s">
        <v>142</v>
      </c>
      <c r="D20" s="82" t="s">
        <v>137</v>
      </c>
      <c r="E20" s="82" t="s">
        <v>141</v>
      </c>
      <c r="F20" s="78" t="s">
        <v>140</v>
      </c>
      <c r="G20" s="105">
        <f>'ECM-EST'!F170</f>
        <v>262472.55040354625</v>
      </c>
    </row>
    <row r="21" spans="1:7" ht="32.75" customHeight="1" x14ac:dyDescent="0.45">
      <c r="A21" s="96" t="s">
        <v>194</v>
      </c>
      <c r="B21" s="80" t="s">
        <v>139</v>
      </c>
      <c r="C21" s="80" t="s">
        <v>138</v>
      </c>
      <c r="D21" s="80" t="s">
        <v>137</v>
      </c>
      <c r="E21" s="80" t="s">
        <v>136</v>
      </c>
      <c r="F21" s="77"/>
      <c r="G21" s="105" t="e">
        <f>'ECM-EST'!#REF!</f>
        <v>#REF!</v>
      </c>
    </row>
    <row r="22" spans="1:7" ht="14.75" customHeight="1" x14ac:dyDescent="0.45">
      <c r="A22" s="326" t="s">
        <v>135</v>
      </c>
      <c r="B22" s="327"/>
      <c r="C22" s="327"/>
      <c r="D22" s="327"/>
      <c r="E22" s="327"/>
      <c r="F22" s="328"/>
      <c r="G22" s="88"/>
    </row>
    <row r="23" spans="1:7" ht="32.75" customHeight="1" x14ac:dyDescent="0.45">
      <c r="A23" s="94" t="s">
        <v>195</v>
      </c>
      <c r="B23" s="82" t="s">
        <v>134</v>
      </c>
      <c r="C23" s="80" t="s">
        <v>133</v>
      </c>
      <c r="D23" s="81" t="s">
        <v>125</v>
      </c>
      <c r="E23" s="80" t="s">
        <v>132</v>
      </c>
      <c r="F23" s="77"/>
      <c r="G23" s="105">
        <f>'ECM-EST'!F281</f>
        <v>158838.36871183678</v>
      </c>
    </row>
    <row r="24" spans="1:7" ht="32.75" customHeight="1" x14ac:dyDescent="0.45">
      <c r="A24" s="94" t="s">
        <v>196</v>
      </c>
      <c r="B24" s="82" t="s">
        <v>131</v>
      </c>
      <c r="C24" s="80" t="s">
        <v>130</v>
      </c>
      <c r="D24" s="81" t="s">
        <v>125</v>
      </c>
      <c r="E24" s="86" t="s">
        <v>129</v>
      </c>
      <c r="F24" s="77"/>
      <c r="G24" s="105" t="e">
        <f>'ECM-EST'!#REF!</f>
        <v>#REF!</v>
      </c>
    </row>
    <row r="25" spans="1:7" ht="14.75" customHeight="1" x14ac:dyDescent="0.45">
      <c r="A25" s="329" t="s">
        <v>128</v>
      </c>
      <c r="B25" s="330"/>
      <c r="C25" s="330"/>
      <c r="D25" s="330"/>
      <c r="E25" s="330"/>
      <c r="F25" s="331"/>
      <c r="G25" s="87"/>
    </row>
    <row r="26" spans="1:7" ht="32.75" customHeight="1" x14ac:dyDescent="0.45">
      <c r="A26" s="85" t="s">
        <v>197</v>
      </c>
      <c r="B26" s="82" t="s">
        <v>127</v>
      </c>
      <c r="C26" s="78" t="s">
        <v>126</v>
      </c>
      <c r="D26" s="81" t="s">
        <v>125</v>
      </c>
      <c r="E26" s="81" t="s">
        <v>124</v>
      </c>
      <c r="F26" s="79" t="s">
        <v>123</v>
      </c>
      <c r="G26" s="105" t="e">
        <f>'ECM-EST'!#REF!</f>
        <v>#REF!</v>
      </c>
    </row>
    <row r="27" spans="1:7" ht="15" customHeight="1" x14ac:dyDescent="0.45">
      <c r="A27" s="332" t="s">
        <v>122</v>
      </c>
      <c r="B27" s="333"/>
      <c r="C27" s="333"/>
      <c r="D27" s="333"/>
      <c r="E27" s="333"/>
      <c r="F27" s="334"/>
      <c r="G27" s="89"/>
    </row>
    <row r="28" spans="1:7" ht="21.75" customHeight="1" x14ac:dyDescent="0.45">
      <c r="A28" s="97" t="s">
        <v>198</v>
      </c>
      <c r="B28" s="80" t="s">
        <v>121</v>
      </c>
      <c r="C28" s="80" t="s">
        <v>120</v>
      </c>
      <c r="D28" s="79" t="s">
        <v>116</v>
      </c>
      <c r="E28" s="80" t="s">
        <v>119</v>
      </c>
      <c r="F28" s="77"/>
      <c r="G28" s="105" t="e">
        <f>'ECM-EST'!#REF!</f>
        <v>#REF!</v>
      </c>
    </row>
    <row r="29" spans="1:7" ht="76.5" customHeight="1" x14ac:dyDescent="0.45">
      <c r="A29" s="98" t="s">
        <v>199</v>
      </c>
      <c r="B29" s="103" t="s">
        <v>205</v>
      </c>
      <c r="C29" s="82" t="s">
        <v>118</v>
      </c>
      <c r="D29" s="82" t="s">
        <v>116</v>
      </c>
      <c r="E29" s="81" t="s">
        <v>115</v>
      </c>
      <c r="F29" s="78"/>
      <c r="G29" s="105" t="e">
        <f>'ECM-EST'!#REF!</f>
        <v>#REF!</v>
      </c>
    </row>
    <row r="30" spans="1:7" ht="65.75" customHeight="1" x14ac:dyDescent="0.45">
      <c r="A30" s="99" t="s">
        <v>200</v>
      </c>
      <c r="B30" s="103" t="s">
        <v>206</v>
      </c>
      <c r="C30" s="82" t="s">
        <v>117</v>
      </c>
      <c r="D30" s="82" t="s">
        <v>116</v>
      </c>
      <c r="E30" s="81" t="s">
        <v>115</v>
      </c>
      <c r="F30" s="78"/>
      <c r="G30" s="105" t="e">
        <f>'ECM-EST'!#REF!</f>
        <v>#REF!</v>
      </c>
    </row>
    <row r="31" spans="1:7" ht="14.75" customHeight="1" x14ac:dyDescent="0.45">
      <c r="A31" s="332" t="s">
        <v>114</v>
      </c>
      <c r="B31" s="333"/>
      <c r="C31" s="333"/>
      <c r="D31" s="333"/>
      <c r="E31" s="333"/>
      <c r="F31" s="334"/>
      <c r="G31" s="89"/>
    </row>
    <row r="32" spans="1:7" ht="21.75" customHeight="1" x14ac:dyDescent="0.45">
      <c r="A32" s="100" t="s">
        <v>201</v>
      </c>
      <c r="B32" s="80" t="s">
        <v>113</v>
      </c>
      <c r="C32" s="80" t="s">
        <v>112</v>
      </c>
      <c r="D32" s="80" t="s">
        <v>111</v>
      </c>
      <c r="E32" s="80" t="s">
        <v>110</v>
      </c>
      <c r="F32" s="77"/>
      <c r="G32" s="105">
        <f>'ECM-EST'!F290</f>
        <v>166886.25307200005</v>
      </c>
    </row>
    <row r="33" spans="1:7" ht="21.75" customHeight="1" x14ac:dyDescent="0.45">
      <c r="A33" s="101" t="s">
        <v>202</v>
      </c>
      <c r="B33" s="80" t="s">
        <v>108</v>
      </c>
      <c r="C33" s="80" t="s">
        <v>109</v>
      </c>
      <c r="D33" s="77"/>
      <c r="E33" s="79" t="s">
        <v>108</v>
      </c>
      <c r="F33" s="77"/>
      <c r="G33" s="105" t="e">
        <f>'ECM-EST'!#REF!</f>
        <v>#REF!</v>
      </c>
    </row>
    <row r="34" spans="1:7" ht="14.75" customHeight="1" x14ac:dyDescent="0.45">
      <c r="A34" s="326" t="s">
        <v>107</v>
      </c>
      <c r="B34" s="327"/>
      <c r="C34" s="327"/>
      <c r="D34" s="327"/>
      <c r="E34" s="327"/>
      <c r="F34" s="328"/>
      <c r="G34" s="88"/>
    </row>
    <row r="35" spans="1:7" ht="33.5" customHeight="1" x14ac:dyDescent="0.45">
      <c r="A35" s="102" t="s">
        <v>203</v>
      </c>
      <c r="B35" s="77" t="s">
        <v>106</v>
      </c>
      <c r="C35" s="78" t="s">
        <v>105</v>
      </c>
      <c r="D35" s="77"/>
      <c r="E35" s="78" t="s">
        <v>104</v>
      </c>
      <c r="F35" s="77"/>
      <c r="G35" s="105">
        <f>'ECM-EST'!F299</f>
        <v>13014.747900000004</v>
      </c>
    </row>
  </sheetData>
  <mergeCells count="15">
    <mergeCell ref="A7:H7"/>
    <mergeCell ref="A8:H8"/>
    <mergeCell ref="A9:A10"/>
    <mergeCell ref="B9:B10"/>
    <mergeCell ref="C9:C10"/>
    <mergeCell ref="D9:E9"/>
    <mergeCell ref="F9:F10"/>
    <mergeCell ref="G9:G10"/>
    <mergeCell ref="A34:F34"/>
    <mergeCell ref="A11:F11"/>
    <mergeCell ref="A19:F19"/>
    <mergeCell ref="A22:F22"/>
    <mergeCell ref="A25:F25"/>
    <mergeCell ref="A27:F27"/>
    <mergeCell ref="A31:F31"/>
  </mergeCells>
  <pageMargins left="0.7" right="0.7" top="0.75" bottom="0.75" header="0.3" footer="0.3"/>
  <pageSetup scale="32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7ABB-0CCB-4D73-ADD6-8893FE79D2CA}">
  <sheetPr transitionEvaluation="1" transitionEntry="1"/>
  <dimension ref="A4:J301"/>
  <sheetViews>
    <sheetView view="pageBreakPreview" zoomScale="115" zoomScaleNormal="85" zoomScaleSheetLayoutView="115" workbookViewId="0">
      <selection activeCell="A25" sqref="A25"/>
    </sheetView>
  </sheetViews>
  <sheetFormatPr defaultColWidth="9.1328125" defaultRowHeight="13.5" x14ac:dyDescent="0.35"/>
  <cols>
    <col min="1" max="1" width="4.46484375" style="2" bestFit="1" customWidth="1"/>
    <col min="2" max="2" width="58.6640625" style="2" bestFit="1" customWidth="1"/>
    <col min="3" max="3" width="12.1328125" style="90" bestFit="1" customWidth="1"/>
    <col min="4" max="4" width="8" style="3" customWidth="1"/>
    <col min="5" max="5" width="15.46484375" style="7" bestFit="1" customWidth="1"/>
    <col min="6" max="6" width="14.19921875" style="2" customWidth="1"/>
    <col min="7" max="7" width="2.33203125" style="2" customWidth="1"/>
    <col min="8" max="8" width="10.46484375" style="291" bestFit="1" customWidth="1"/>
    <col min="9" max="10" width="13.33203125" style="2" bestFit="1" customWidth="1"/>
    <col min="11" max="11" width="6.53125" style="2" bestFit="1" customWidth="1"/>
    <col min="12" max="12" width="10.53125" style="2" bestFit="1" customWidth="1"/>
    <col min="13" max="16384" width="9.1328125" style="2"/>
  </cols>
  <sheetData>
    <row r="4" spans="1:6" x14ac:dyDescent="0.35">
      <c r="B4" s="2" t="str">
        <f>EST!B4</f>
        <v>COLLEGE OF TECHNOLOGY AT FARMINGDALE</v>
      </c>
    </row>
    <row r="5" spans="1:6" x14ac:dyDescent="0.35">
      <c r="B5" s="2" t="str">
        <f>EST!B5</f>
        <v>Farmingdale, New York</v>
      </c>
    </row>
    <row r="6" spans="1:6" ht="13.9" x14ac:dyDescent="0.4">
      <c r="B6" s="21"/>
    </row>
    <row r="8" spans="1:6" x14ac:dyDescent="0.35">
      <c r="B8" s="2" t="s">
        <v>204</v>
      </c>
      <c r="F8" s="4">
        <f>TITLE!A24</f>
        <v>44263</v>
      </c>
    </row>
    <row r="9" spans="1:6" ht="13.9" thickBot="1" x14ac:dyDescent="0.4"/>
    <row r="10" spans="1:6" ht="15" customHeight="1" x14ac:dyDescent="0.35">
      <c r="A10" s="349"/>
      <c r="B10" s="305" t="s">
        <v>4</v>
      </c>
      <c r="C10" s="351" t="s">
        <v>184</v>
      </c>
      <c r="D10" s="305" t="s">
        <v>7</v>
      </c>
      <c r="E10" s="345" t="s">
        <v>185</v>
      </c>
      <c r="F10" s="347" t="s">
        <v>5</v>
      </c>
    </row>
    <row r="11" spans="1:6" ht="13.9" thickBot="1" x14ac:dyDescent="0.4">
      <c r="A11" s="350"/>
      <c r="B11" s="306"/>
      <c r="C11" s="352"/>
      <c r="D11" s="306"/>
      <c r="E11" s="346"/>
      <c r="F11" s="348"/>
    </row>
    <row r="12" spans="1:6" x14ac:dyDescent="0.35">
      <c r="A12" s="23">
        <f>ROW()-11</f>
        <v>1</v>
      </c>
      <c r="B12" s="9"/>
      <c r="C12" s="91"/>
      <c r="D12" s="10"/>
      <c r="E12" s="11"/>
      <c r="F12" s="9"/>
    </row>
    <row r="13" spans="1:6" x14ac:dyDescent="0.35">
      <c r="A13" s="42">
        <f t="shared" ref="A13:A282" si="0">ROW()-11</f>
        <v>2</v>
      </c>
      <c r="B13" s="62" t="str">
        <f>_xlfn.CONCAT('ECM-SUM'!B13,'ECM-SUM'!C13)</f>
        <v>E1 High performance triple-glazing windows</v>
      </c>
      <c r="C13" s="92"/>
      <c r="D13" s="63"/>
      <c r="E13" s="65"/>
      <c r="F13" s="42"/>
    </row>
    <row r="14" spans="1:6" x14ac:dyDescent="0.35">
      <c r="A14" s="9">
        <f t="shared" si="0"/>
        <v>3</v>
      </c>
      <c r="B14" s="9"/>
      <c r="C14" s="91"/>
      <c r="D14" s="10"/>
      <c r="E14" s="11"/>
      <c r="F14" s="18"/>
    </row>
    <row r="15" spans="1:6" x14ac:dyDescent="0.35">
      <c r="A15" s="9">
        <f t="shared" si="0"/>
        <v>4</v>
      </c>
      <c r="B15" s="13" t="s">
        <v>286</v>
      </c>
      <c r="C15" s="91"/>
      <c r="D15" s="10"/>
      <c r="E15" s="11"/>
      <c r="F15" s="15"/>
    </row>
    <row r="16" spans="1:6" ht="27" x14ac:dyDescent="0.35">
      <c r="A16" s="9">
        <f t="shared" si="0"/>
        <v>5</v>
      </c>
      <c r="B16" s="121" t="s">
        <v>287</v>
      </c>
      <c r="C16" s="162">
        <v>2533</v>
      </c>
      <c r="D16" s="10" t="s">
        <v>89</v>
      </c>
      <c r="E16" s="128">
        <f>100.92+20</f>
        <v>120.92</v>
      </c>
      <c r="F16" s="15">
        <f>C16*E16</f>
        <v>306290.36</v>
      </c>
    </row>
    <row r="17" spans="1:6" ht="27" x14ac:dyDescent="0.35">
      <c r="A17" s="9">
        <f t="shared" si="0"/>
        <v>6</v>
      </c>
      <c r="B17" s="151" t="s">
        <v>417</v>
      </c>
      <c r="C17" s="162">
        <v>1974</v>
      </c>
      <c r="D17" s="10" t="s">
        <v>89</v>
      </c>
      <c r="E17" s="128">
        <f>184.09+20</f>
        <v>204.09</v>
      </c>
      <c r="F17" s="15">
        <f>C17*E17</f>
        <v>402873.66000000003</v>
      </c>
    </row>
    <row r="18" spans="1:6" ht="27" x14ac:dyDescent="0.35">
      <c r="A18" s="9">
        <f t="shared" si="0"/>
        <v>7</v>
      </c>
      <c r="B18" s="151" t="s">
        <v>871</v>
      </c>
      <c r="C18" s="162">
        <v>6260</v>
      </c>
      <c r="D18" s="10" t="s">
        <v>89</v>
      </c>
      <c r="E18" s="128">
        <f>106.21+20</f>
        <v>126.21</v>
      </c>
      <c r="F18" s="15">
        <f>C18*E18</f>
        <v>790074.6</v>
      </c>
    </row>
    <row r="19" spans="1:6" x14ac:dyDescent="0.35">
      <c r="A19" s="9">
        <f t="shared" si="0"/>
        <v>8</v>
      </c>
      <c r="B19" s="121" t="s">
        <v>289</v>
      </c>
      <c r="C19" s="91">
        <v>2000</v>
      </c>
      <c r="D19" s="10" t="s">
        <v>290</v>
      </c>
      <c r="E19" s="11">
        <v>5.37</v>
      </c>
      <c r="F19" s="15">
        <f>C19*E19</f>
        <v>10740</v>
      </c>
    </row>
    <row r="20" spans="1:6" x14ac:dyDescent="0.35">
      <c r="A20" s="9">
        <f t="shared" si="0"/>
        <v>9</v>
      </c>
      <c r="B20" s="121" t="s">
        <v>288</v>
      </c>
      <c r="C20" s="91"/>
      <c r="D20" s="10"/>
      <c r="E20" s="11"/>
      <c r="F20" s="15"/>
    </row>
    <row r="21" spans="1:6" ht="40.5" x14ac:dyDescent="0.35">
      <c r="A21" s="9">
        <f t="shared" si="0"/>
        <v>10</v>
      </c>
      <c r="B21" s="121" t="s">
        <v>783</v>
      </c>
      <c r="C21" s="91">
        <v>-2533</v>
      </c>
      <c r="D21" s="10" t="s">
        <v>89</v>
      </c>
      <c r="E21" s="11">
        <v>100.92</v>
      </c>
      <c r="F21" s="15">
        <f>C21*E21</f>
        <v>-255630.36000000002</v>
      </c>
    </row>
    <row r="22" spans="1:6" ht="40.5" x14ac:dyDescent="0.35">
      <c r="A22" s="9">
        <f t="shared" si="0"/>
        <v>11</v>
      </c>
      <c r="B22" s="151" t="s">
        <v>784</v>
      </c>
      <c r="C22" s="162">
        <v>-1974</v>
      </c>
      <c r="D22" s="10" t="s">
        <v>89</v>
      </c>
      <c r="E22" s="128">
        <f>184.09</f>
        <v>184.09</v>
      </c>
      <c r="F22" s="15">
        <f>C22*E22</f>
        <v>-363393.66000000003</v>
      </c>
    </row>
    <row r="23" spans="1:6" ht="40.5" x14ac:dyDescent="0.35">
      <c r="A23" s="9">
        <f t="shared" si="0"/>
        <v>12</v>
      </c>
      <c r="B23" s="151" t="s">
        <v>872</v>
      </c>
      <c r="C23" s="162">
        <v>-6260</v>
      </c>
      <c r="D23" s="10" t="s">
        <v>89</v>
      </c>
      <c r="E23" s="128">
        <f>106.21</f>
        <v>106.21</v>
      </c>
      <c r="F23" s="15">
        <f>C23*E23</f>
        <v>-664874.6</v>
      </c>
    </row>
    <row r="24" spans="1:6" x14ac:dyDescent="0.35">
      <c r="A24" s="9">
        <f t="shared" si="0"/>
        <v>13</v>
      </c>
      <c r="B24" s="9"/>
      <c r="C24" s="91"/>
      <c r="D24" s="10"/>
      <c r="E24" s="11"/>
      <c r="F24" s="20" t="s">
        <v>6</v>
      </c>
    </row>
    <row r="25" spans="1:6" x14ac:dyDescent="0.35">
      <c r="A25" s="9">
        <f t="shared" si="0"/>
        <v>14</v>
      </c>
      <c r="B25" s="13" t="s">
        <v>207</v>
      </c>
      <c r="C25" s="91"/>
      <c r="D25" s="10"/>
      <c r="E25" s="11"/>
      <c r="F25" s="15">
        <f>SUM(F13:F24)</f>
        <v>226080</v>
      </c>
    </row>
    <row r="26" spans="1:6" x14ac:dyDescent="0.35">
      <c r="A26" s="9">
        <f t="shared" si="0"/>
        <v>15</v>
      </c>
      <c r="B26" s="13" t="s">
        <v>208</v>
      </c>
      <c r="C26" s="104">
        <f>SUM!$L$46-1</f>
        <v>0.4873997600000004</v>
      </c>
      <c r="D26" s="10"/>
      <c r="E26" s="11"/>
      <c r="F26" s="15">
        <f>C26*F25</f>
        <v>110191.3377408001</v>
      </c>
    </row>
    <row r="27" spans="1:6" x14ac:dyDescent="0.35">
      <c r="A27" s="9">
        <f t="shared" si="0"/>
        <v>16</v>
      </c>
      <c r="B27" s="9"/>
      <c r="C27" s="91"/>
      <c r="D27" s="10"/>
      <c r="E27" s="11"/>
      <c r="F27" s="20" t="s">
        <v>6</v>
      </c>
    </row>
    <row r="28" spans="1:6" x14ac:dyDescent="0.35">
      <c r="A28" s="9">
        <f t="shared" si="0"/>
        <v>17</v>
      </c>
      <c r="B28" s="13" t="str">
        <f>"Total " &amp; B13</f>
        <v>Total E1 High performance triple-glazing windows</v>
      </c>
      <c r="C28" s="91"/>
      <c r="D28" s="10"/>
      <c r="E28" s="11"/>
      <c r="F28" s="15">
        <f>SUM(F25:F27)</f>
        <v>336271.33774080011</v>
      </c>
    </row>
    <row r="29" spans="1:6" x14ac:dyDescent="0.35">
      <c r="A29" s="9">
        <f t="shared" si="0"/>
        <v>18</v>
      </c>
      <c r="B29" s="13"/>
      <c r="C29" s="91"/>
      <c r="D29" s="10"/>
      <c r="E29" s="11"/>
      <c r="F29" s="15"/>
    </row>
    <row r="30" spans="1:6" x14ac:dyDescent="0.35">
      <c r="A30" s="42">
        <f t="shared" si="0"/>
        <v>19</v>
      </c>
      <c r="B30" s="62" t="str">
        <f>_xlfn.CONCAT('ECM-SUM'!B14,'ECM-SUM'!C14)</f>
        <v>E2 Electrochromic glazing</v>
      </c>
      <c r="C30" s="92"/>
      <c r="D30" s="63"/>
      <c r="E30" s="65"/>
      <c r="F30" s="42"/>
    </row>
    <row r="31" spans="1:6" x14ac:dyDescent="0.35">
      <c r="A31" s="9">
        <f t="shared" si="0"/>
        <v>20</v>
      </c>
      <c r="B31" s="9" t="s">
        <v>286</v>
      </c>
      <c r="C31" s="91"/>
      <c r="D31" s="10"/>
      <c r="E31" s="11"/>
      <c r="F31" s="18"/>
    </row>
    <row r="32" spans="1:6" x14ac:dyDescent="0.35">
      <c r="A32" s="9">
        <f t="shared" si="0"/>
        <v>21</v>
      </c>
      <c r="B32" s="121" t="s">
        <v>781</v>
      </c>
      <c r="C32" s="91">
        <f>2533</f>
        <v>2533</v>
      </c>
      <c r="D32" s="10" t="s">
        <v>89</v>
      </c>
      <c r="E32" s="128">
        <f>100.92*0.35</f>
        <v>35.321999999999996</v>
      </c>
      <c r="F32" s="15">
        <f>C32*E32</f>
        <v>89470.625999999989</v>
      </c>
    </row>
    <row r="33" spans="1:6" x14ac:dyDescent="0.35">
      <c r="A33" s="9">
        <f t="shared" si="0"/>
        <v>22</v>
      </c>
      <c r="B33" s="121" t="s">
        <v>785</v>
      </c>
      <c r="C33" s="91">
        <f>(1974)</f>
        <v>1974</v>
      </c>
      <c r="D33" s="10" t="s">
        <v>89</v>
      </c>
      <c r="E33" s="128">
        <f>184.09*0.35</f>
        <v>64.4315</v>
      </c>
      <c r="F33" s="15">
        <f>C33*E33</f>
        <v>127187.781</v>
      </c>
    </row>
    <row r="34" spans="1:6" x14ac:dyDescent="0.35">
      <c r="A34" s="9">
        <f t="shared" si="0"/>
        <v>23</v>
      </c>
      <c r="B34" s="121" t="s">
        <v>873</v>
      </c>
      <c r="C34" s="91">
        <v>6260</v>
      </c>
      <c r="D34" s="10" t="s">
        <v>89</v>
      </c>
      <c r="E34" s="128">
        <f>106.21*0.35</f>
        <v>37.173499999999997</v>
      </c>
      <c r="F34" s="15">
        <f>C34*E34</f>
        <v>232706.11</v>
      </c>
    </row>
    <row r="35" spans="1:6" x14ac:dyDescent="0.35">
      <c r="A35" s="9">
        <f t="shared" si="0"/>
        <v>24</v>
      </c>
      <c r="B35" s="9" t="s">
        <v>288</v>
      </c>
      <c r="C35" s="91"/>
      <c r="D35" s="10"/>
      <c r="E35" s="11"/>
      <c r="F35" s="18"/>
    </row>
    <row r="36" spans="1:6" ht="27" x14ac:dyDescent="0.35">
      <c r="A36" s="9">
        <f t="shared" si="0"/>
        <v>25</v>
      </c>
      <c r="B36" s="121" t="s">
        <v>786</v>
      </c>
      <c r="C36" s="91">
        <v>-2533</v>
      </c>
      <c r="D36" s="10" t="s">
        <v>89</v>
      </c>
      <c r="E36" s="128">
        <v>43</v>
      </c>
      <c r="F36" s="15">
        <f>C36*E36</f>
        <v>-108919</v>
      </c>
    </row>
    <row r="37" spans="1:6" x14ac:dyDescent="0.35">
      <c r="A37" s="9">
        <f t="shared" si="0"/>
        <v>26</v>
      </c>
      <c r="B37" s="9"/>
      <c r="C37" s="91"/>
      <c r="D37" s="10"/>
      <c r="E37" s="11"/>
      <c r="F37" s="20" t="s">
        <v>6</v>
      </c>
    </row>
    <row r="38" spans="1:6" x14ac:dyDescent="0.35">
      <c r="A38" s="9">
        <f t="shared" si="0"/>
        <v>27</v>
      </c>
      <c r="B38" s="13" t="s">
        <v>207</v>
      </c>
      <c r="C38" s="91"/>
      <c r="D38" s="10"/>
      <c r="E38" s="11"/>
      <c r="F38" s="15">
        <f>SUM(F31:F37)</f>
        <v>340445.51699999999</v>
      </c>
    </row>
    <row r="39" spans="1:6" x14ac:dyDescent="0.35">
      <c r="A39" s="9">
        <f t="shared" si="0"/>
        <v>28</v>
      </c>
      <c r="B39" s="13" t="s">
        <v>208</v>
      </c>
      <c r="C39" s="104">
        <f>SUM!$L$46-1</f>
        <v>0.4873997600000004</v>
      </c>
      <c r="D39" s="10"/>
      <c r="E39" s="11"/>
      <c r="F39" s="15">
        <f>C39*F38</f>
        <v>165933.06327887604</v>
      </c>
    </row>
    <row r="40" spans="1:6" x14ac:dyDescent="0.35">
      <c r="A40" s="9">
        <f t="shared" si="0"/>
        <v>29</v>
      </c>
      <c r="B40" s="9"/>
      <c r="C40" s="91"/>
      <c r="D40" s="10"/>
      <c r="E40" s="11"/>
      <c r="F40" s="20" t="s">
        <v>6</v>
      </c>
    </row>
    <row r="41" spans="1:6" x14ac:dyDescent="0.35">
      <c r="A41" s="9">
        <f t="shared" si="0"/>
        <v>30</v>
      </c>
      <c r="B41" s="13" t="str">
        <f>"Total " &amp; B30</f>
        <v>Total E2 Electrochromic glazing</v>
      </c>
      <c r="C41" s="91"/>
      <c r="D41" s="10"/>
      <c r="E41" s="11"/>
      <c r="F41" s="15">
        <f>SUM(F38:F40)</f>
        <v>506378.580278876</v>
      </c>
    </row>
    <row r="42" spans="1:6" x14ac:dyDescent="0.35">
      <c r="A42" s="9">
        <f t="shared" si="0"/>
        <v>31</v>
      </c>
      <c r="B42" s="13"/>
      <c r="C42" s="91"/>
      <c r="D42" s="10"/>
      <c r="E42" s="11"/>
      <c r="F42" s="15"/>
    </row>
    <row r="43" spans="1:6" x14ac:dyDescent="0.35">
      <c r="A43" s="9">
        <f t="shared" si="0"/>
        <v>32</v>
      </c>
      <c r="B43" s="62" t="str">
        <f>_xlfn.CONCAT('ECM-SUM'!B15,'ECM-SUM'!C15)</f>
        <v>E3 Roof lnsulation (Passive House level)</v>
      </c>
      <c r="C43" s="92"/>
      <c r="D43" s="63"/>
      <c r="E43" s="65"/>
      <c r="F43" s="42"/>
    </row>
    <row r="44" spans="1:6" x14ac:dyDescent="0.35">
      <c r="A44" s="9">
        <f t="shared" si="0"/>
        <v>33</v>
      </c>
      <c r="B44" s="9" t="s">
        <v>286</v>
      </c>
      <c r="C44" s="91"/>
      <c r="D44" s="10"/>
      <c r="E44" s="11"/>
      <c r="F44" s="18"/>
    </row>
    <row r="45" spans="1:6" x14ac:dyDescent="0.35">
      <c r="A45" s="9">
        <f t="shared" si="0"/>
        <v>34</v>
      </c>
      <c r="B45" s="13" t="s">
        <v>291</v>
      </c>
      <c r="C45" s="91">
        <f>655*0.67*0.67/27</f>
        <v>10.889981481481483</v>
      </c>
      <c r="D45" s="10" t="s">
        <v>292</v>
      </c>
      <c r="E45" s="11">
        <v>996.14</v>
      </c>
      <c r="F45" s="15">
        <f>C45*E45</f>
        <v>10847.946152962964</v>
      </c>
    </row>
    <row r="46" spans="1:6" x14ac:dyDescent="0.35">
      <c r="A46" s="9">
        <f t="shared" si="0"/>
        <v>35</v>
      </c>
      <c r="B46" s="122" t="s">
        <v>297</v>
      </c>
      <c r="C46" s="123">
        <v>15958</v>
      </c>
      <c r="D46" s="124" t="s">
        <v>89</v>
      </c>
      <c r="E46" s="130">
        <v>8</v>
      </c>
      <c r="F46" s="126">
        <f>C46*E46</f>
        <v>127664</v>
      </c>
    </row>
    <row r="47" spans="1:6" x14ac:dyDescent="0.35">
      <c r="A47" s="9">
        <f t="shared" si="0"/>
        <v>36</v>
      </c>
      <c r="B47" s="125" t="s">
        <v>293</v>
      </c>
      <c r="C47" s="123"/>
      <c r="D47" s="124"/>
      <c r="E47" s="11"/>
      <c r="F47" s="15"/>
    </row>
    <row r="48" spans="1:6" x14ac:dyDescent="0.35">
      <c r="A48" s="9">
        <f t="shared" si="0"/>
        <v>37</v>
      </c>
      <c r="B48" s="125" t="s">
        <v>294</v>
      </c>
      <c r="C48" s="123"/>
      <c r="D48" s="124"/>
      <c r="E48" s="11"/>
      <c r="F48" s="15"/>
    </row>
    <row r="49" spans="1:6" x14ac:dyDescent="0.35">
      <c r="A49" s="9">
        <f t="shared" si="0"/>
        <v>38</v>
      </c>
      <c r="B49" s="125" t="s">
        <v>295</v>
      </c>
      <c r="C49" s="123"/>
      <c r="D49" s="124"/>
      <c r="E49" s="11"/>
      <c r="F49" s="15"/>
    </row>
    <row r="50" spans="1:6" x14ac:dyDescent="0.35">
      <c r="A50" s="9">
        <f t="shared" si="0"/>
        <v>39</v>
      </c>
      <c r="B50" s="9"/>
      <c r="C50" s="91"/>
      <c r="D50" s="10"/>
      <c r="E50" s="11"/>
      <c r="F50" s="20" t="s">
        <v>6</v>
      </c>
    </row>
    <row r="51" spans="1:6" x14ac:dyDescent="0.35">
      <c r="A51" s="9">
        <f t="shared" si="0"/>
        <v>40</v>
      </c>
      <c r="B51" s="13" t="s">
        <v>207</v>
      </c>
      <c r="C51" s="91"/>
      <c r="D51" s="10"/>
      <c r="E51" s="11"/>
      <c r="F51" s="15">
        <f>SUM(F44:F50)</f>
        <v>138511.94615296298</v>
      </c>
    </row>
    <row r="52" spans="1:6" x14ac:dyDescent="0.35">
      <c r="A52" s="9">
        <f t="shared" si="0"/>
        <v>41</v>
      </c>
      <c r="B52" s="13" t="s">
        <v>208</v>
      </c>
      <c r="C52" s="104">
        <f>SUM!$L$46-1</f>
        <v>0.4873997600000004</v>
      </c>
      <c r="D52" s="10"/>
      <c r="E52" s="11"/>
      <c r="F52" s="15">
        <f>C52*F51</f>
        <v>67510.689312087139</v>
      </c>
    </row>
    <row r="53" spans="1:6" x14ac:dyDescent="0.35">
      <c r="A53" s="9">
        <f t="shared" si="0"/>
        <v>42</v>
      </c>
      <c r="B53" s="9"/>
      <c r="C53" s="91"/>
      <c r="D53" s="10"/>
      <c r="E53" s="11"/>
      <c r="F53" s="20" t="s">
        <v>6</v>
      </c>
    </row>
    <row r="54" spans="1:6" x14ac:dyDescent="0.35">
      <c r="A54" s="9">
        <f t="shared" si="0"/>
        <v>43</v>
      </c>
      <c r="B54" s="13" t="str">
        <f>"Total " &amp; B43</f>
        <v>Total E3 Roof lnsulation (Passive House level)</v>
      </c>
      <c r="C54" s="91"/>
      <c r="D54" s="10"/>
      <c r="E54" s="11"/>
      <c r="F54" s="15">
        <f>SUM(F51:F53)</f>
        <v>206022.63546505012</v>
      </c>
    </row>
    <row r="55" spans="1:6" x14ac:dyDescent="0.35">
      <c r="A55" s="9">
        <f t="shared" si="0"/>
        <v>44</v>
      </c>
      <c r="B55" s="13"/>
      <c r="C55" s="91"/>
      <c r="D55" s="10"/>
      <c r="E55" s="11"/>
      <c r="F55" s="15"/>
    </row>
    <row r="56" spans="1:6" x14ac:dyDescent="0.35">
      <c r="A56" s="9">
        <f t="shared" si="0"/>
        <v>45</v>
      </c>
      <c r="B56" s="62" t="str">
        <f>_xlfn.CONCAT('ECM-SUM'!B16,'ECM-SUM'!C16)</f>
        <v>E4 Wall insulation</v>
      </c>
      <c r="C56" s="92"/>
      <c r="D56" s="63"/>
      <c r="E56" s="65"/>
      <c r="F56" s="42"/>
    </row>
    <row r="57" spans="1:6" x14ac:dyDescent="0.35">
      <c r="A57" s="9">
        <f t="shared" si="0"/>
        <v>46</v>
      </c>
      <c r="B57" s="9" t="s">
        <v>286</v>
      </c>
      <c r="C57" s="91"/>
      <c r="D57" s="10"/>
      <c r="E57" s="11"/>
      <c r="F57" s="18"/>
    </row>
    <row r="58" spans="1:6" x14ac:dyDescent="0.35">
      <c r="A58" s="9">
        <f t="shared" si="0"/>
        <v>47</v>
      </c>
      <c r="B58" s="13" t="s">
        <v>298</v>
      </c>
      <c r="C58" s="91">
        <f>21263</f>
        <v>21263</v>
      </c>
      <c r="D58" s="10" t="s">
        <v>89</v>
      </c>
      <c r="E58" s="128">
        <v>5</v>
      </c>
      <c r="F58" s="15">
        <f>C58*E58</f>
        <v>106315</v>
      </c>
    </row>
    <row r="59" spans="1:6" x14ac:dyDescent="0.35">
      <c r="A59" s="9">
        <f t="shared" si="0"/>
        <v>48</v>
      </c>
      <c r="B59" s="13" t="s">
        <v>299</v>
      </c>
      <c r="C59" s="91">
        <v>1442</v>
      </c>
      <c r="D59" s="10" t="s">
        <v>300</v>
      </c>
      <c r="E59" s="128">
        <v>35</v>
      </c>
      <c r="F59" s="15">
        <f>C59*E59</f>
        <v>50470</v>
      </c>
    </row>
    <row r="60" spans="1:6" x14ac:dyDescent="0.35">
      <c r="A60" s="9">
        <f t="shared" si="0"/>
        <v>49</v>
      </c>
      <c r="B60" s="13" t="s">
        <v>301</v>
      </c>
      <c r="C60" s="91">
        <v>7</v>
      </c>
      <c r="D60" s="10" t="s">
        <v>302</v>
      </c>
      <c r="E60" s="128">
        <v>6450</v>
      </c>
      <c r="F60" s="15">
        <f>C60*E60</f>
        <v>45150</v>
      </c>
    </row>
    <row r="61" spans="1:6" ht="27" x14ac:dyDescent="0.35">
      <c r="A61" s="9">
        <f t="shared" si="0"/>
        <v>50</v>
      </c>
      <c r="B61" s="121" t="s">
        <v>303</v>
      </c>
      <c r="C61" s="91">
        <f>680*3/20</f>
        <v>102</v>
      </c>
      <c r="D61" s="10" t="s">
        <v>290</v>
      </c>
      <c r="E61" s="128">
        <v>100</v>
      </c>
      <c r="F61" s="15">
        <f>C61*E61</f>
        <v>10200</v>
      </c>
    </row>
    <row r="62" spans="1:6" x14ac:dyDescent="0.35">
      <c r="A62" s="9">
        <f t="shared" si="0"/>
        <v>51</v>
      </c>
      <c r="B62" s="9"/>
      <c r="C62" s="91"/>
      <c r="D62" s="10"/>
      <c r="E62" s="11"/>
      <c r="F62" s="20" t="s">
        <v>6</v>
      </c>
    </row>
    <row r="63" spans="1:6" x14ac:dyDescent="0.35">
      <c r="A63" s="9">
        <f t="shared" si="0"/>
        <v>52</v>
      </c>
      <c r="B63" s="13" t="s">
        <v>207</v>
      </c>
      <c r="C63" s="91"/>
      <c r="D63" s="10"/>
      <c r="E63" s="11"/>
      <c r="F63" s="15">
        <f>SUM(F57:F62)</f>
        <v>212135</v>
      </c>
    </row>
    <row r="64" spans="1:6" x14ac:dyDescent="0.35">
      <c r="A64" s="9">
        <f t="shared" si="0"/>
        <v>53</v>
      </c>
      <c r="B64" s="13" t="s">
        <v>208</v>
      </c>
      <c r="C64" s="104">
        <f>SUM!$L$46-1</f>
        <v>0.4873997600000004</v>
      </c>
      <c r="D64" s="10"/>
      <c r="E64" s="11"/>
      <c r="F64" s="15">
        <f>C64*F63</f>
        <v>103394.54808760008</v>
      </c>
    </row>
    <row r="65" spans="1:10" x14ac:dyDescent="0.35">
      <c r="A65" s="9">
        <f t="shared" si="0"/>
        <v>54</v>
      </c>
      <c r="B65" s="9"/>
      <c r="C65" s="91"/>
      <c r="D65" s="10"/>
      <c r="E65" s="11"/>
      <c r="F65" s="20" t="s">
        <v>6</v>
      </c>
    </row>
    <row r="66" spans="1:10" x14ac:dyDescent="0.35">
      <c r="A66" s="9">
        <f t="shared" si="0"/>
        <v>55</v>
      </c>
      <c r="B66" s="13" t="str">
        <f>"Total " &amp; B56</f>
        <v>Total E4 Wall insulation</v>
      </c>
      <c r="C66" s="91"/>
      <c r="D66" s="10"/>
      <c r="E66" s="11"/>
      <c r="F66" s="15">
        <f>SUM(F63:F65)</f>
        <v>315529.54808760009</v>
      </c>
    </row>
    <row r="67" spans="1:10" x14ac:dyDescent="0.35">
      <c r="A67" s="9">
        <f t="shared" si="0"/>
        <v>56</v>
      </c>
      <c r="B67" s="13"/>
      <c r="C67" s="91"/>
      <c r="D67" s="10"/>
      <c r="E67" s="11"/>
      <c r="F67" s="15"/>
    </row>
    <row r="68" spans="1:10" x14ac:dyDescent="0.35">
      <c r="A68" s="42">
        <f t="shared" si="0"/>
        <v>57</v>
      </c>
      <c r="B68" s="62" t="str">
        <f>_xlfn.CONCAT('ECM-SUM'!B17,'ECM-SUM'!C17)</f>
        <v>E5 Below-grade wall insulation</v>
      </c>
      <c r="C68" s="92"/>
      <c r="D68" s="63"/>
      <c r="E68" s="65"/>
      <c r="F68" s="42"/>
    </row>
    <row r="69" spans="1:10" x14ac:dyDescent="0.35">
      <c r="A69" s="9">
        <f t="shared" si="0"/>
        <v>58</v>
      </c>
      <c r="B69" s="9" t="s">
        <v>286</v>
      </c>
      <c r="C69" s="91"/>
      <c r="D69" s="10"/>
      <c r="E69" s="11"/>
      <c r="F69" s="18"/>
    </row>
    <row r="70" spans="1:10" ht="27" x14ac:dyDescent="0.35">
      <c r="A70" s="9">
        <f t="shared" si="0"/>
        <v>59</v>
      </c>
      <c r="B70" s="152" t="s">
        <v>412</v>
      </c>
      <c r="C70" s="91">
        <f>460*0.29</f>
        <v>133.39999999999998</v>
      </c>
      <c r="D70" s="10" t="s">
        <v>292</v>
      </c>
      <c r="E70" s="11">
        <v>1259.98</v>
      </c>
      <c r="F70" s="15">
        <f t="shared" ref="F70:F71" si="1">C70*E70</f>
        <v>168081.33199999997</v>
      </c>
      <c r="J70" s="2">
        <f>4/14</f>
        <v>0.2857142857142857</v>
      </c>
    </row>
    <row r="71" spans="1:10" ht="40.5" x14ac:dyDescent="0.35">
      <c r="A71" s="9">
        <f t="shared" si="0"/>
        <v>60</v>
      </c>
      <c r="B71" s="152" t="s">
        <v>413</v>
      </c>
      <c r="C71" s="91">
        <f>279*0.065</f>
        <v>18.135000000000002</v>
      </c>
      <c r="D71" s="10" t="s">
        <v>292</v>
      </c>
      <c r="E71" s="11">
        <v>1006.2</v>
      </c>
      <c r="F71" s="15">
        <f t="shared" si="1"/>
        <v>18247.437000000002</v>
      </c>
      <c r="J71" s="2">
        <f>4/62</f>
        <v>6.4516129032258063E-2</v>
      </c>
    </row>
    <row r="72" spans="1:10" ht="27" x14ac:dyDescent="0.35">
      <c r="A72" s="9">
        <f t="shared" si="0"/>
        <v>61</v>
      </c>
      <c r="B72" s="152" t="s">
        <v>414</v>
      </c>
      <c r="C72" s="91">
        <f>93.5*0.29</f>
        <v>27.114999999999998</v>
      </c>
      <c r="D72" s="10" t="s">
        <v>292</v>
      </c>
      <c r="E72" s="11">
        <v>1008.64</v>
      </c>
      <c r="F72" s="15">
        <f>C72*E72</f>
        <v>27349.273599999997</v>
      </c>
      <c r="J72" s="2">
        <f>4/14</f>
        <v>0.2857142857142857</v>
      </c>
    </row>
    <row r="73" spans="1:10" x14ac:dyDescent="0.35">
      <c r="A73" s="9">
        <f t="shared" si="0"/>
        <v>62</v>
      </c>
      <c r="B73" s="152" t="s">
        <v>415</v>
      </c>
      <c r="C73" s="91">
        <f>36.4*0.25</f>
        <v>9.1</v>
      </c>
      <c r="D73" s="10" t="s">
        <v>292</v>
      </c>
      <c r="E73" s="11">
        <v>775.75</v>
      </c>
      <c r="F73" s="15">
        <f>C73*E73</f>
        <v>7059.3249999999998</v>
      </c>
      <c r="J73" s="2">
        <f>6/24</f>
        <v>0.25</v>
      </c>
    </row>
    <row r="74" spans="1:10" ht="27" x14ac:dyDescent="0.35">
      <c r="A74" s="9">
        <f t="shared" si="0"/>
        <v>63</v>
      </c>
      <c r="B74" s="121" t="s">
        <v>418</v>
      </c>
      <c r="C74" s="91">
        <v>1900</v>
      </c>
      <c r="D74" s="10" t="s">
        <v>89</v>
      </c>
      <c r="E74" s="11">
        <f>4.71*0.5</f>
        <v>2.355</v>
      </c>
      <c r="F74" s="15">
        <f>C74*E74</f>
        <v>4474.5</v>
      </c>
    </row>
    <row r="75" spans="1:10" x14ac:dyDescent="0.35">
      <c r="A75" s="9">
        <f t="shared" si="0"/>
        <v>64</v>
      </c>
      <c r="B75" s="13" t="s">
        <v>419</v>
      </c>
      <c r="C75" s="91">
        <v>2104</v>
      </c>
      <c r="D75" s="10" t="s">
        <v>89</v>
      </c>
      <c r="E75" s="11">
        <f>E74</f>
        <v>2.355</v>
      </c>
      <c r="F75" s="15">
        <f>C75*E75</f>
        <v>4954.92</v>
      </c>
    </row>
    <row r="76" spans="1:10" x14ac:dyDescent="0.35">
      <c r="A76" s="9">
        <f t="shared" si="0"/>
        <v>65</v>
      </c>
      <c r="B76" s="9"/>
      <c r="C76" s="91"/>
      <c r="D76" s="10"/>
      <c r="E76" s="11"/>
      <c r="F76" s="20" t="s">
        <v>6</v>
      </c>
    </row>
    <row r="77" spans="1:10" x14ac:dyDescent="0.35">
      <c r="A77" s="9">
        <f t="shared" si="0"/>
        <v>66</v>
      </c>
      <c r="B77" s="13" t="s">
        <v>207</v>
      </c>
      <c r="C77" s="91"/>
      <c r="D77" s="10"/>
      <c r="E77" s="11"/>
      <c r="F77" s="15">
        <f>SUM(F69:F76)</f>
        <v>230166.78759999998</v>
      </c>
    </row>
    <row r="78" spans="1:10" x14ac:dyDescent="0.35">
      <c r="A78" s="9">
        <f t="shared" si="0"/>
        <v>67</v>
      </c>
      <c r="B78" s="13" t="s">
        <v>208</v>
      </c>
      <c r="C78" s="104">
        <f>SUM!$L$46-1</f>
        <v>0.4873997600000004</v>
      </c>
      <c r="D78" s="10"/>
      <c r="E78" s="11"/>
      <c r="F78" s="15">
        <f>C78*F77</f>
        <v>112183.23703621107</v>
      </c>
    </row>
    <row r="79" spans="1:10" x14ac:dyDescent="0.35">
      <c r="A79" s="9">
        <f t="shared" si="0"/>
        <v>68</v>
      </c>
      <c r="B79" s="9"/>
      <c r="C79" s="91"/>
      <c r="D79" s="10"/>
      <c r="E79" s="11"/>
      <c r="F79" s="20" t="s">
        <v>6</v>
      </c>
    </row>
    <row r="80" spans="1:10" x14ac:dyDescent="0.35">
      <c r="A80" s="9">
        <f t="shared" si="0"/>
        <v>69</v>
      </c>
      <c r="B80" s="13" t="str">
        <f>"Total " &amp; B68</f>
        <v>Total E5 Below-grade wall insulation</v>
      </c>
      <c r="C80" s="91"/>
      <c r="D80" s="10"/>
      <c r="E80" s="11"/>
      <c r="F80" s="15">
        <f>SUM(F77:F79)</f>
        <v>342350.02463621105</v>
      </c>
    </row>
    <row r="81" spans="1:6" x14ac:dyDescent="0.35">
      <c r="A81" s="9">
        <f t="shared" si="0"/>
        <v>70</v>
      </c>
      <c r="B81" s="13"/>
      <c r="C81" s="91"/>
      <c r="D81" s="10"/>
      <c r="E81" s="11"/>
      <c r="F81" s="15"/>
    </row>
    <row r="82" spans="1:6" x14ac:dyDescent="0.35">
      <c r="A82" s="42">
        <f t="shared" si="0"/>
        <v>71</v>
      </c>
      <c r="B82" s="62" t="str">
        <f>_xlfn.CONCAT('ECM-SUM'!B18,'ECM-SUM'!C18)</f>
        <v>E6 Reduced infiltration</v>
      </c>
      <c r="C82" s="92"/>
      <c r="D82" s="63"/>
      <c r="E82" s="65"/>
      <c r="F82" s="42"/>
    </row>
    <row r="83" spans="1:6" x14ac:dyDescent="0.35">
      <c r="A83" s="9">
        <f t="shared" si="0"/>
        <v>72</v>
      </c>
      <c r="B83" s="9"/>
      <c r="C83" s="91"/>
      <c r="D83" s="10"/>
      <c r="E83" s="11"/>
      <c r="F83" s="18"/>
    </row>
    <row r="84" spans="1:6" ht="27" x14ac:dyDescent="0.35">
      <c r="A84" s="9">
        <f t="shared" si="0"/>
        <v>73</v>
      </c>
      <c r="B84" s="121" t="s">
        <v>782</v>
      </c>
      <c r="C84" s="91">
        <f>21263</f>
        <v>21263</v>
      </c>
      <c r="D84" s="10" t="s">
        <v>89</v>
      </c>
      <c r="E84" s="128">
        <v>2</v>
      </c>
      <c r="F84" s="15">
        <f>C84*E84</f>
        <v>42526</v>
      </c>
    </row>
    <row r="85" spans="1:6" x14ac:dyDescent="0.35">
      <c r="A85" s="9">
        <f t="shared" si="0"/>
        <v>74</v>
      </c>
      <c r="B85" s="9"/>
      <c r="C85" s="91"/>
      <c r="D85" s="10"/>
      <c r="E85" s="11"/>
      <c r="F85" s="20" t="s">
        <v>6</v>
      </c>
    </row>
    <row r="86" spans="1:6" x14ac:dyDescent="0.35">
      <c r="A86" s="9">
        <f t="shared" si="0"/>
        <v>75</v>
      </c>
      <c r="B86" s="13" t="s">
        <v>207</v>
      </c>
      <c r="C86" s="91"/>
      <c r="D86" s="10"/>
      <c r="E86" s="11"/>
      <c r="F86" s="15">
        <f>SUM(F83:F85)</f>
        <v>42526</v>
      </c>
    </row>
    <row r="87" spans="1:6" x14ac:dyDescent="0.35">
      <c r="A87" s="9">
        <f t="shared" si="0"/>
        <v>76</v>
      </c>
      <c r="B87" s="13" t="s">
        <v>208</v>
      </c>
      <c r="C87" s="104">
        <f>SUM!$L$46-1</f>
        <v>0.4873997600000004</v>
      </c>
      <c r="D87" s="10"/>
      <c r="E87" s="11"/>
      <c r="F87" s="15">
        <f>C87*F86</f>
        <v>20727.162193760018</v>
      </c>
    </row>
    <row r="88" spans="1:6" x14ac:dyDescent="0.35">
      <c r="A88" s="9">
        <f t="shared" si="0"/>
        <v>77</v>
      </c>
      <c r="B88" s="9"/>
      <c r="C88" s="91"/>
      <c r="D88" s="10"/>
      <c r="E88" s="11"/>
      <c r="F88" s="20" t="s">
        <v>6</v>
      </c>
    </row>
    <row r="89" spans="1:6" x14ac:dyDescent="0.35">
      <c r="A89" s="9">
        <f t="shared" si="0"/>
        <v>78</v>
      </c>
      <c r="B89" s="13" t="str">
        <f>"Total " &amp; B82</f>
        <v>Total E6 Reduced infiltration</v>
      </c>
      <c r="C89" s="91"/>
      <c r="D89" s="10"/>
      <c r="E89" s="11"/>
      <c r="F89" s="15">
        <f>SUM(F86:F88)</f>
        <v>63253.162193760014</v>
      </c>
    </row>
    <row r="90" spans="1:6" x14ac:dyDescent="0.35">
      <c r="A90" s="9">
        <f t="shared" si="0"/>
        <v>79</v>
      </c>
      <c r="B90" s="13"/>
      <c r="C90" s="91"/>
      <c r="D90" s="10"/>
      <c r="E90" s="11"/>
      <c r="F90" s="15"/>
    </row>
    <row r="91" spans="1:6" x14ac:dyDescent="0.35">
      <c r="A91" s="42">
        <f t="shared" si="0"/>
        <v>80</v>
      </c>
      <c r="B91" s="62" t="str">
        <f>_xlfn.CONCAT('ECM-SUM'!B19,'ECM-SUM'!C19)</f>
        <v>E7 Internal shading</v>
      </c>
      <c r="C91" s="92"/>
      <c r="D91" s="63"/>
      <c r="E91" s="65"/>
      <c r="F91" s="42"/>
    </row>
    <row r="92" spans="1:6" x14ac:dyDescent="0.35">
      <c r="A92" s="9">
        <f t="shared" si="0"/>
        <v>81</v>
      </c>
      <c r="B92" s="9" t="s">
        <v>286</v>
      </c>
      <c r="C92" s="91"/>
      <c r="D92" s="10"/>
      <c r="E92" s="11"/>
      <c r="F92" s="18"/>
    </row>
    <row r="93" spans="1:6" x14ac:dyDescent="0.35">
      <c r="A93" s="9">
        <f t="shared" si="0"/>
        <v>82</v>
      </c>
      <c r="B93" s="13" t="s">
        <v>416</v>
      </c>
      <c r="C93" s="91">
        <v>2533</v>
      </c>
      <c r="D93" s="10" t="s">
        <v>89</v>
      </c>
      <c r="E93" s="128">
        <v>12</v>
      </c>
      <c r="F93" s="15">
        <f>C93*E93</f>
        <v>30396</v>
      </c>
    </row>
    <row r="94" spans="1:6" x14ac:dyDescent="0.35">
      <c r="A94" s="9">
        <f t="shared" si="0"/>
        <v>83</v>
      </c>
      <c r="B94" s="9"/>
      <c r="C94" s="91"/>
      <c r="D94" s="10"/>
      <c r="E94" s="11"/>
      <c r="F94" s="20" t="s">
        <v>6</v>
      </c>
    </row>
    <row r="95" spans="1:6" x14ac:dyDescent="0.35">
      <c r="A95" s="9">
        <f t="shared" si="0"/>
        <v>84</v>
      </c>
      <c r="B95" s="13" t="s">
        <v>207</v>
      </c>
      <c r="C95" s="91"/>
      <c r="D95" s="10"/>
      <c r="E95" s="11"/>
      <c r="F95" s="15">
        <f>SUM(F93:F94)</f>
        <v>30396</v>
      </c>
    </row>
    <row r="96" spans="1:6" x14ac:dyDescent="0.35">
      <c r="A96" s="9">
        <f t="shared" si="0"/>
        <v>85</v>
      </c>
      <c r="B96" s="13" t="s">
        <v>208</v>
      </c>
      <c r="C96" s="104">
        <f>SUM!$L$46-1</f>
        <v>0.4873997600000004</v>
      </c>
      <c r="D96" s="10"/>
      <c r="E96" s="11"/>
      <c r="F96" s="15">
        <f>C96*F95</f>
        <v>14815.003104960013</v>
      </c>
    </row>
    <row r="97" spans="1:6" x14ac:dyDescent="0.35">
      <c r="A97" s="9">
        <f t="shared" si="0"/>
        <v>86</v>
      </c>
      <c r="B97" s="9"/>
      <c r="C97" s="91"/>
      <c r="D97" s="10"/>
      <c r="E97" s="11"/>
      <c r="F97" s="20" t="s">
        <v>6</v>
      </c>
    </row>
    <row r="98" spans="1:6" x14ac:dyDescent="0.35">
      <c r="A98" s="9">
        <f t="shared" si="0"/>
        <v>87</v>
      </c>
      <c r="B98" s="13" t="str">
        <f>"Total " &amp; B91</f>
        <v>Total E7 Internal shading</v>
      </c>
      <c r="C98" s="91"/>
      <c r="D98" s="10"/>
      <c r="E98" s="11"/>
      <c r="F98" s="15">
        <f>SUM(F95:F97)</f>
        <v>45211.003104960015</v>
      </c>
    </row>
    <row r="99" spans="1:6" x14ac:dyDescent="0.35">
      <c r="A99" s="9">
        <f t="shared" si="0"/>
        <v>88</v>
      </c>
      <c r="B99" s="13"/>
      <c r="C99" s="91"/>
      <c r="D99" s="10"/>
      <c r="E99" s="11"/>
      <c r="F99" s="15"/>
    </row>
    <row r="100" spans="1:6" x14ac:dyDescent="0.35">
      <c r="A100" s="42">
        <f t="shared" si="0"/>
        <v>89</v>
      </c>
      <c r="B100" s="62" t="str">
        <f>_xlfn.CONCAT('ECM-SUM'!B21,'ECM-SUM'!C21)</f>
        <v>L1a Upgrade interior lighting to be 20-30% better than baseline (With DALI)</v>
      </c>
      <c r="C100" s="92"/>
      <c r="D100" s="63"/>
      <c r="E100" s="65"/>
      <c r="F100" s="42"/>
    </row>
    <row r="101" spans="1:6" x14ac:dyDescent="0.35">
      <c r="A101" s="9">
        <f t="shared" si="0"/>
        <v>90</v>
      </c>
      <c r="B101" s="9" t="s">
        <v>286</v>
      </c>
      <c r="C101" s="91"/>
      <c r="D101" s="10"/>
      <c r="E101" s="11"/>
      <c r="F101" s="18"/>
    </row>
    <row r="102" spans="1:6" x14ac:dyDescent="0.35">
      <c r="A102" s="9">
        <f t="shared" si="0"/>
        <v>91</v>
      </c>
      <c r="B102" s="13" t="s">
        <v>830</v>
      </c>
      <c r="C102" s="91">
        <v>1</v>
      </c>
      <c r="D102" s="10" t="s">
        <v>31</v>
      </c>
      <c r="E102" s="11">
        <v>73706.399999999994</v>
      </c>
      <c r="F102" s="15">
        <f t="shared" ref="F102:F164" si="2">C102*E102</f>
        <v>73706.399999999994</v>
      </c>
    </row>
    <row r="103" spans="1:6" x14ac:dyDescent="0.35">
      <c r="A103" s="9">
        <f t="shared" si="0"/>
        <v>92</v>
      </c>
      <c r="B103" s="13" t="s">
        <v>831</v>
      </c>
      <c r="C103" s="91">
        <v>1</v>
      </c>
      <c r="D103" s="10" t="s">
        <v>31</v>
      </c>
      <c r="E103" s="11">
        <v>3924</v>
      </c>
      <c r="F103" s="15">
        <f t="shared" si="2"/>
        <v>3924</v>
      </c>
    </row>
    <row r="104" spans="1:6" x14ac:dyDescent="0.35">
      <c r="A104" s="9">
        <f t="shared" si="0"/>
        <v>93</v>
      </c>
      <c r="B104" s="13" t="s">
        <v>832</v>
      </c>
      <c r="C104" s="91">
        <v>1</v>
      </c>
      <c r="D104" s="10" t="s">
        <v>31</v>
      </c>
      <c r="E104" s="11">
        <v>349884</v>
      </c>
      <c r="F104" s="15">
        <f t="shared" si="2"/>
        <v>349884</v>
      </c>
    </row>
    <row r="105" spans="1:6" x14ac:dyDescent="0.35">
      <c r="A105" s="9">
        <f t="shared" si="0"/>
        <v>94</v>
      </c>
      <c r="B105" s="13" t="s">
        <v>833</v>
      </c>
      <c r="C105" s="91">
        <v>1</v>
      </c>
      <c r="D105" s="10" t="s">
        <v>31</v>
      </c>
      <c r="E105" s="11">
        <v>3864</v>
      </c>
      <c r="F105" s="15">
        <f t="shared" si="2"/>
        <v>3864</v>
      </c>
    </row>
    <row r="106" spans="1:6" x14ac:dyDescent="0.35">
      <c r="A106" s="9">
        <f t="shared" si="0"/>
        <v>95</v>
      </c>
      <c r="B106" s="13" t="s">
        <v>834</v>
      </c>
      <c r="C106" s="91">
        <v>1</v>
      </c>
      <c r="D106" s="10" t="s">
        <v>31</v>
      </c>
      <c r="E106" s="11">
        <v>231055.19999999998</v>
      </c>
      <c r="F106" s="15">
        <f t="shared" si="2"/>
        <v>231055.19999999998</v>
      </c>
    </row>
    <row r="107" spans="1:6" x14ac:dyDescent="0.35">
      <c r="A107" s="9">
        <f t="shared" si="0"/>
        <v>96</v>
      </c>
      <c r="B107" s="13" t="s">
        <v>835</v>
      </c>
      <c r="C107" s="91">
        <v>212</v>
      </c>
      <c r="D107" s="10" t="s">
        <v>290</v>
      </c>
      <c r="E107" s="11">
        <v>234.66450000000003</v>
      </c>
      <c r="F107" s="15">
        <f t="shared" si="2"/>
        <v>49748.874000000003</v>
      </c>
    </row>
    <row r="108" spans="1:6" x14ac:dyDescent="0.35">
      <c r="A108" s="9">
        <f t="shared" si="0"/>
        <v>97</v>
      </c>
      <c r="B108" s="13" t="s">
        <v>836</v>
      </c>
      <c r="C108" s="91">
        <v>72</v>
      </c>
      <c r="D108" s="10" t="s">
        <v>290</v>
      </c>
      <c r="E108" s="11">
        <v>234.66450000000003</v>
      </c>
      <c r="F108" s="15">
        <f t="shared" si="2"/>
        <v>16895.844000000001</v>
      </c>
    </row>
    <row r="109" spans="1:6" x14ac:dyDescent="0.35">
      <c r="A109" s="9">
        <f t="shared" si="0"/>
        <v>98</v>
      </c>
      <c r="B109" s="13" t="s">
        <v>837</v>
      </c>
      <c r="C109" s="91">
        <v>151</v>
      </c>
      <c r="D109" s="10" t="s">
        <v>300</v>
      </c>
      <c r="E109" s="11">
        <v>70.402500000000003</v>
      </c>
      <c r="F109" s="15">
        <f t="shared" si="2"/>
        <v>10630.7775</v>
      </c>
    </row>
    <row r="110" spans="1:6" x14ac:dyDescent="0.35">
      <c r="A110" s="9">
        <f t="shared" si="0"/>
        <v>99</v>
      </c>
      <c r="B110" s="13" t="s">
        <v>838</v>
      </c>
      <c r="C110" s="91">
        <v>66</v>
      </c>
      <c r="D110" s="10" t="s">
        <v>300</v>
      </c>
      <c r="E110" s="11">
        <v>70.402500000000003</v>
      </c>
      <c r="F110" s="15">
        <f t="shared" si="2"/>
        <v>4646.5650000000005</v>
      </c>
    </row>
    <row r="111" spans="1:6" x14ac:dyDescent="0.35">
      <c r="A111" s="9">
        <f t="shared" si="0"/>
        <v>100</v>
      </c>
      <c r="B111" s="13" t="s">
        <v>839</v>
      </c>
      <c r="C111" s="91">
        <v>38</v>
      </c>
      <c r="D111" s="10" t="s">
        <v>290</v>
      </c>
      <c r="E111" s="11">
        <v>203.37450000000001</v>
      </c>
      <c r="F111" s="15">
        <f t="shared" si="2"/>
        <v>7728.2310000000007</v>
      </c>
    </row>
    <row r="112" spans="1:6" x14ac:dyDescent="0.35">
      <c r="A112" s="9">
        <f t="shared" si="0"/>
        <v>101</v>
      </c>
      <c r="B112" s="13" t="s">
        <v>840</v>
      </c>
      <c r="C112" s="91">
        <v>35</v>
      </c>
      <c r="D112" s="10" t="s">
        <v>290</v>
      </c>
      <c r="E112" s="11">
        <v>211.197</v>
      </c>
      <c r="F112" s="15">
        <f t="shared" si="2"/>
        <v>7391.8950000000004</v>
      </c>
    </row>
    <row r="113" spans="1:6" x14ac:dyDescent="0.35">
      <c r="A113" s="9">
        <f t="shared" si="0"/>
        <v>102</v>
      </c>
      <c r="B113" s="13" t="s">
        <v>841</v>
      </c>
      <c r="C113" s="91">
        <v>44</v>
      </c>
      <c r="D113" s="10" t="s">
        <v>290</v>
      </c>
      <c r="E113" s="11">
        <v>312.8895</v>
      </c>
      <c r="F113" s="15">
        <f t="shared" si="2"/>
        <v>13767.137999999999</v>
      </c>
    </row>
    <row r="114" spans="1:6" x14ac:dyDescent="0.35">
      <c r="A114" s="9">
        <f t="shared" si="0"/>
        <v>103</v>
      </c>
      <c r="B114" s="13" t="s">
        <v>842</v>
      </c>
      <c r="C114" s="91">
        <v>4</v>
      </c>
      <c r="D114" s="10" t="s">
        <v>290</v>
      </c>
      <c r="E114" s="11">
        <v>469.33950000000004</v>
      </c>
      <c r="F114" s="15">
        <f t="shared" si="2"/>
        <v>1877.3580000000002</v>
      </c>
    </row>
    <row r="115" spans="1:6" x14ac:dyDescent="0.35">
      <c r="A115" s="9">
        <f t="shared" si="0"/>
        <v>104</v>
      </c>
      <c r="B115" s="13" t="s">
        <v>843</v>
      </c>
      <c r="C115" s="91">
        <v>13</v>
      </c>
      <c r="D115" s="10" t="s">
        <v>290</v>
      </c>
      <c r="E115" s="11">
        <v>312.8895</v>
      </c>
      <c r="F115" s="15">
        <f t="shared" si="2"/>
        <v>4067.5635000000002</v>
      </c>
    </row>
    <row r="116" spans="1:6" x14ac:dyDescent="0.35">
      <c r="A116" s="9">
        <f t="shared" si="0"/>
        <v>105</v>
      </c>
      <c r="B116" s="13" t="s">
        <v>844</v>
      </c>
      <c r="C116" s="91">
        <v>16</v>
      </c>
      <c r="D116" s="10" t="s">
        <v>290</v>
      </c>
      <c r="E116" s="11">
        <v>312.8895</v>
      </c>
      <c r="F116" s="15">
        <f t="shared" si="2"/>
        <v>5006.232</v>
      </c>
    </row>
    <row r="117" spans="1:6" x14ac:dyDescent="0.35">
      <c r="A117" s="9">
        <f t="shared" si="0"/>
        <v>106</v>
      </c>
      <c r="B117" s="13" t="s">
        <v>845</v>
      </c>
      <c r="C117" s="91">
        <v>18</v>
      </c>
      <c r="D117" s="10" t="s">
        <v>290</v>
      </c>
      <c r="E117" s="11">
        <v>534.28449999999998</v>
      </c>
      <c r="F117" s="15">
        <f t="shared" si="2"/>
        <v>9617.1209999999992</v>
      </c>
    </row>
    <row r="118" spans="1:6" x14ac:dyDescent="0.35">
      <c r="A118" s="9">
        <f t="shared" si="0"/>
        <v>107</v>
      </c>
      <c r="B118" s="13" t="s">
        <v>846</v>
      </c>
      <c r="C118" s="91">
        <v>28</v>
      </c>
      <c r="D118" s="10" t="s">
        <v>290</v>
      </c>
      <c r="E118" s="11">
        <v>250.30949999999999</v>
      </c>
      <c r="F118" s="15">
        <f t="shared" si="2"/>
        <v>7008.6659999999993</v>
      </c>
    </row>
    <row r="119" spans="1:6" x14ac:dyDescent="0.35">
      <c r="A119" s="9">
        <f t="shared" si="0"/>
        <v>108</v>
      </c>
      <c r="B119" s="13" t="s">
        <v>847</v>
      </c>
      <c r="C119" s="91">
        <v>14</v>
      </c>
      <c r="D119" s="10" t="s">
        <v>290</v>
      </c>
      <c r="E119" s="11">
        <v>211.197</v>
      </c>
      <c r="F119" s="15">
        <f t="shared" si="2"/>
        <v>2956.7579999999998</v>
      </c>
    </row>
    <row r="120" spans="1:6" x14ac:dyDescent="0.35">
      <c r="A120" s="9">
        <f t="shared" si="0"/>
        <v>109</v>
      </c>
      <c r="B120" s="13" t="s">
        <v>848</v>
      </c>
      <c r="C120" s="91">
        <v>55</v>
      </c>
      <c r="D120" s="10" t="s">
        <v>290</v>
      </c>
      <c r="E120" s="11">
        <v>211.197</v>
      </c>
      <c r="F120" s="15">
        <f t="shared" si="2"/>
        <v>11615.835000000001</v>
      </c>
    </row>
    <row r="121" spans="1:6" x14ac:dyDescent="0.35">
      <c r="A121" s="9">
        <f t="shared" si="0"/>
        <v>110</v>
      </c>
      <c r="B121" s="13" t="s">
        <v>849</v>
      </c>
      <c r="C121" s="91">
        <v>16</v>
      </c>
      <c r="D121" s="10" t="s">
        <v>290</v>
      </c>
      <c r="E121" s="11">
        <v>195.55200000000002</v>
      </c>
      <c r="F121" s="15">
        <f t="shared" si="2"/>
        <v>3128.8320000000003</v>
      </c>
    </row>
    <row r="122" spans="1:6" x14ac:dyDescent="0.35">
      <c r="A122" s="9">
        <f t="shared" si="0"/>
        <v>111</v>
      </c>
      <c r="B122" s="13" t="s">
        <v>850</v>
      </c>
      <c r="C122" s="91">
        <v>6</v>
      </c>
      <c r="D122" s="10" t="s">
        <v>290</v>
      </c>
      <c r="E122" s="11">
        <v>203.37450000000001</v>
      </c>
      <c r="F122" s="15">
        <f t="shared" si="2"/>
        <v>1220.2470000000001</v>
      </c>
    </row>
    <row r="123" spans="1:6" x14ac:dyDescent="0.35">
      <c r="A123" s="9">
        <f t="shared" si="0"/>
        <v>112</v>
      </c>
      <c r="B123" s="13" t="s">
        <v>851</v>
      </c>
      <c r="C123" s="91">
        <v>16</v>
      </c>
      <c r="D123" s="10" t="s">
        <v>290</v>
      </c>
      <c r="E123" s="11">
        <v>226.84200000000001</v>
      </c>
      <c r="F123" s="15">
        <f t="shared" si="2"/>
        <v>3629.4720000000002</v>
      </c>
    </row>
    <row r="124" spans="1:6" x14ac:dyDescent="0.35">
      <c r="A124" s="9">
        <f t="shared" si="0"/>
        <v>113</v>
      </c>
      <c r="B124" s="13" t="s">
        <v>852</v>
      </c>
      <c r="C124" s="91">
        <v>139</v>
      </c>
      <c r="D124" s="10" t="s">
        <v>290</v>
      </c>
      <c r="E124" s="11">
        <v>54.7575</v>
      </c>
      <c r="F124" s="15">
        <f t="shared" si="2"/>
        <v>7611.2925000000005</v>
      </c>
    </row>
    <row r="125" spans="1:6" x14ac:dyDescent="0.35">
      <c r="A125" s="9">
        <f t="shared" si="0"/>
        <v>114</v>
      </c>
      <c r="B125" s="13" t="s">
        <v>853</v>
      </c>
      <c r="C125" s="91">
        <v>467</v>
      </c>
      <c r="D125" s="10" t="s">
        <v>300</v>
      </c>
      <c r="E125" s="11">
        <v>62.580000000000005</v>
      </c>
      <c r="F125" s="15">
        <f t="shared" si="2"/>
        <v>29224.860000000004</v>
      </c>
    </row>
    <row r="126" spans="1:6" x14ac:dyDescent="0.35">
      <c r="A126" s="9">
        <f t="shared" si="0"/>
        <v>115</v>
      </c>
      <c r="B126" s="13" t="s">
        <v>854</v>
      </c>
      <c r="C126" s="91">
        <v>44</v>
      </c>
      <c r="D126" s="10" t="s">
        <v>290</v>
      </c>
      <c r="E126" s="11">
        <v>234.66450000000003</v>
      </c>
      <c r="F126" s="15">
        <f t="shared" si="2"/>
        <v>10325.238000000001</v>
      </c>
    </row>
    <row r="127" spans="1:6" x14ac:dyDescent="0.35">
      <c r="A127" s="9">
        <f t="shared" si="0"/>
        <v>116</v>
      </c>
      <c r="B127" s="13" t="s">
        <v>855</v>
      </c>
      <c r="C127" s="91">
        <v>41</v>
      </c>
      <c r="D127" s="10" t="s">
        <v>290</v>
      </c>
      <c r="E127" s="11">
        <v>203.37450000000001</v>
      </c>
      <c r="F127" s="15">
        <f t="shared" si="2"/>
        <v>8338.3545000000013</v>
      </c>
    </row>
    <row r="128" spans="1:6" x14ac:dyDescent="0.35">
      <c r="A128" s="9">
        <f t="shared" si="0"/>
        <v>117</v>
      </c>
      <c r="B128" s="13" t="s">
        <v>856</v>
      </c>
      <c r="C128" s="91">
        <v>6</v>
      </c>
      <c r="D128" s="10" t="s">
        <v>290</v>
      </c>
      <c r="E128" s="11">
        <v>39.112500000000004</v>
      </c>
      <c r="F128" s="15">
        <f t="shared" si="2"/>
        <v>234.67500000000001</v>
      </c>
    </row>
    <row r="129" spans="1:9" x14ac:dyDescent="0.35">
      <c r="A129" s="9">
        <f t="shared" si="0"/>
        <v>118</v>
      </c>
      <c r="B129" s="13" t="s">
        <v>857</v>
      </c>
      <c r="C129" s="91">
        <v>11</v>
      </c>
      <c r="D129" s="10" t="s">
        <v>290</v>
      </c>
      <c r="E129" s="11">
        <v>39.112500000000004</v>
      </c>
      <c r="F129" s="15">
        <f t="shared" si="2"/>
        <v>430.23750000000007</v>
      </c>
    </row>
    <row r="130" spans="1:9" x14ac:dyDescent="0.35">
      <c r="A130" s="9">
        <f t="shared" si="0"/>
        <v>119</v>
      </c>
      <c r="B130" s="13" t="s">
        <v>858</v>
      </c>
      <c r="C130" s="91">
        <v>23</v>
      </c>
      <c r="D130" s="10" t="s">
        <v>300</v>
      </c>
      <c r="E130" s="11">
        <v>120.886</v>
      </c>
      <c r="F130" s="15">
        <f t="shared" si="2"/>
        <v>2780.3779999999997</v>
      </c>
    </row>
    <row r="131" spans="1:9" x14ac:dyDescent="0.35">
      <c r="A131" s="9">
        <f t="shared" si="0"/>
        <v>120</v>
      </c>
      <c r="B131" s="13" t="s">
        <v>859</v>
      </c>
      <c r="C131" s="91">
        <v>17</v>
      </c>
      <c r="D131" s="10" t="s">
        <v>300</v>
      </c>
      <c r="E131" s="11">
        <v>120.886</v>
      </c>
      <c r="F131" s="15">
        <f t="shared" si="2"/>
        <v>2055.0619999999999</v>
      </c>
    </row>
    <row r="132" spans="1:9" x14ac:dyDescent="0.35">
      <c r="A132" s="9">
        <f t="shared" si="0"/>
        <v>121</v>
      </c>
      <c r="B132" s="13" t="s">
        <v>703</v>
      </c>
      <c r="C132" s="91">
        <v>14</v>
      </c>
      <c r="D132" s="10" t="s">
        <v>290</v>
      </c>
      <c r="E132" s="11">
        <v>250.30949999999999</v>
      </c>
      <c r="F132" s="15">
        <f t="shared" si="2"/>
        <v>3504.3329999999996</v>
      </c>
    </row>
    <row r="133" spans="1:9" x14ac:dyDescent="0.35">
      <c r="A133" s="9">
        <f t="shared" si="0"/>
        <v>122</v>
      </c>
      <c r="B133" s="13" t="s">
        <v>422</v>
      </c>
      <c r="C133" s="91">
        <v>17805.333333333332</v>
      </c>
      <c r="D133" s="10" t="s">
        <v>300</v>
      </c>
      <c r="E133" s="11">
        <v>13.3563375</v>
      </c>
      <c r="F133" s="15">
        <f t="shared" si="2"/>
        <v>237814.04129999998</v>
      </c>
    </row>
    <row r="134" spans="1:9" x14ac:dyDescent="0.35">
      <c r="A134" s="9">
        <f t="shared" si="0"/>
        <v>123</v>
      </c>
      <c r="B134" s="13" t="s">
        <v>860</v>
      </c>
      <c r="C134" s="91">
        <v>53416</v>
      </c>
      <c r="D134" s="10" t="s">
        <v>300</v>
      </c>
      <c r="E134" s="11">
        <v>1.1848649999999998</v>
      </c>
      <c r="F134" s="15">
        <f t="shared" si="2"/>
        <v>63290.748839999993</v>
      </c>
    </row>
    <row r="135" spans="1:9" x14ac:dyDescent="0.35">
      <c r="A135" s="9">
        <f t="shared" si="0"/>
        <v>124</v>
      </c>
      <c r="B135" s="13" t="s">
        <v>861</v>
      </c>
      <c r="C135" s="91">
        <v>53416</v>
      </c>
      <c r="D135" s="10" t="s">
        <v>300</v>
      </c>
      <c r="E135" s="11">
        <v>1.1848649999999998</v>
      </c>
      <c r="F135" s="15">
        <f t="shared" si="2"/>
        <v>63290.748839999993</v>
      </c>
    </row>
    <row r="136" spans="1:9" x14ac:dyDescent="0.35">
      <c r="A136" s="9">
        <f t="shared" si="0"/>
        <v>125</v>
      </c>
      <c r="B136" s="9"/>
      <c r="C136" s="91"/>
      <c r="D136" s="10"/>
      <c r="E136" s="11"/>
      <c r="F136" s="15"/>
    </row>
    <row r="137" spans="1:9" x14ac:dyDescent="0.35">
      <c r="A137" s="9">
        <f t="shared" si="0"/>
        <v>126</v>
      </c>
      <c r="B137" s="9" t="s">
        <v>288</v>
      </c>
      <c r="C137" s="91"/>
      <c r="D137" s="10"/>
      <c r="E137" s="11"/>
      <c r="F137" s="15"/>
    </row>
    <row r="138" spans="1:9" x14ac:dyDescent="0.35">
      <c r="A138" s="9">
        <f t="shared" si="0"/>
        <v>127</v>
      </c>
      <c r="B138" s="13" t="s">
        <v>835</v>
      </c>
      <c r="C138" s="91">
        <v>-298</v>
      </c>
      <c r="D138" s="10" t="s">
        <v>290</v>
      </c>
      <c r="E138" s="11">
        <v>697.5675</v>
      </c>
      <c r="F138" s="15">
        <f t="shared" si="2"/>
        <v>-207875.11499999999</v>
      </c>
      <c r="I138" s="279"/>
    </row>
    <row r="139" spans="1:9" x14ac:dyDescent="0.35">
      <c r="A139" s="9">
        <f t="shared" si="0"/>
        <v>128</v>
      </c>
      <c r="B139" s="13" t="s">
        <v>836</v>
      </c>
      <c r="C139" s="91">
        <v>-122</v>
      </c>
      <c r="D139" s="10" t="s">
        <v>290</v>
      </c>
      <c r="E139" s="11">
        <v>697.5675</v>
      </c>
      <c r="F139" s="15">
        <f t="shared" si="2"/>
        <v>-85103.235000000001</v>
      </c>
      <c r="I139" s="279"/>
    </row>
    <row r="140" spans="1:9" x14ac:dyDescent="0.35">
      <c r="A140" s="9">
        <f t="shared" si="0"/>
        <v>129</v>
      </c>
      <c r="B140" s="13" t="s">
        <v>837</v>
      </c>
      <c r="C140" s="91">
        <v>-165.04</v>
      </c>
      <c r="D140" s="10" t="s">
        <v>300</v>
      </c>
      <c r="E140" s="11">
        <v>176.69774999999998</v>
      </c>
      <c r="F140" s="15">
        <f t="shared" si="2"/>
        <v>-29162.196659999998</v>
      </c>
      <c r="I140" s="279"/>
    </row>
    <row r="141" spans="1:9" x14ac:dyDescent="0.35">
      <c r="A141" s="9">
        <f t="shared" si="0"/>
        <v>130</v>
      </c>
      <c r="B141" s="13" t="s">
        <v>838</v>
      </c>
      <c r="C141" s="91">
        <v>-44.55</v>
      </c>
      <c r="D141" s="10" t="s">
        <v>300</v>
      </c>
      <c r="E141" s="11">
        <v>176.69774999999998</v>
      </c>
      <c r="F141" s="15">
        <f t="shared" si="2"/>
        <v>-7871.8847624999989</v>
      </c>
      <c r="I141" s="279"/>
    </row>
    <row r="142" spans="1:9" x14ac:dyDescent="0.35">
      <c r="A142" s="9">
        <f t="shared" si="0"/>
        <v>131</v>
      </c>
      <c r="B142" s="13" t="s">
        <v>839</v>
      </c>
      <c r="C142" s="91">
        <v>-36</v>
      </c>
      <c r="D142" s="10" t="s">
        <v>290</v>
      </c>
      <c r="E142" s="11">
        <v>400.09349999999995</v>
      </c>
      <c r="F142" s="15">
        <f t="shared" si="2"/>
        <v>-14403.365999999998</v>
      </c>
      <c r="I142" s="279"/>
    </row>
    <row r="143" spans="1:9" x14ac:dyDescent="0.35">
      <c r="A143" s="9">
        <f t="shared" si="0"/>
        <v>132</v>
      </c>
      <c r="B143" s="13" t="s">
        <v>840</v>
      </c>
      <c r="C143" s="91">
        <v>-68</v>
      </c>
      <c r="D143" s="10" t="s">
        <v>290</v>
      </c>
      <c r="E143" s="11">
        <v>446.24324999999999</v>
      </c>
      <c r="F143" s="15">
        <f t="shared" si="2"/>
        <v>-30344.540999999997</v>
      </c>
      <c r="I143" s="279"/>
    </row>
    <row r="144" spans="1:9" x14ac:dyDescent="0.35">
      <c r="A144" s="9">
        <f t="shared" si="0"/>
        <v>133</v>
      </c>
      <c r="B144" s="13" t="s">
        <v>841</v>
      </c>
      <c r="C144" s="91">
        <v>-45</v>
      </c>
      <c r="D144" s="10" t="s">
        <v>290</v>
      </c>
      <c r="E144" s="11">
        <v>1845.99</v>
      </c>
      <c r="F144" s="15">
        <f t="shared" si="2"/>
        <v>-83069.55</v>
      </c>
      <c r="I144" s="279"/>
    </row>
    <row r="145" spans="1:9" x14ac:dyDescent="0.35">
      <c r="A145" s="9">
        <f t="shared" si="0"/>
        <v>134</v>
      </c>
      <c r="B145" s="13" t="s">
        <v>842</v>
      </c>
      <c r="C145" s="91">
        <v>-3</v>
      </c>
      <c r="D145" s="10" t="s">
        <v>290</v>
      </c>
      <c r="E145" s="11">
        <v>2250.5124999999998</v>
      </c>
      <c r="F145" s="15">
        <f t="shared" si="2"/>
        <v>-6751.5374999999995</v>
      </c>
      <c r="I145" s="279"/>
    </row>
    <row r="146" spans="1:9" x14ac:dyDescent="0.35">
      <c r="A146" s="9">
        <f t="shared" si="0"/>
        <v>135</v>
      </c>
      <c r="B146" s="13" t="s">
        <v>843</v>
      </c>
      <c r="C146" s="91">
        <v>-13</v>
      </c>
      <c r="D146" s="10" t="s">
        <v>290</v>
      </c>
      <c r="E146" s="11">
        <v>1764.6684</v>
      </c>
      <c r="F146" s="15">
        <f t="shared" si="2"/>
        <v>-22940.689200000001</v>
      </c>
      <c r="I146" s="279"/>
    </row>
    <row r="147" spans="1:9" x14ac:dyDescent="0.35">
      <c r="A147" s="9">
        <f t="shared" si="0"/>
        <v>136</v>
      </c>
      <c r="B147" s="13" t="s">
        <v>862</v>
      </c>
      <c r="C147" s="91">
        <v>-16</v>
      </c>
      <c r="D147" s="10" t="s">
        <v>290</v>
      </c>
      <c r="E147" s="11">
        <v>1764.6684</v>
      </c>
      <c r="F147" s="15">
        <f t="shared" si="2"/>
        <v>-28234.6944</v>
      </c>
      <c r="I147" s="279"/>
    </row>
    <row r="148" spans="1:9" x14ac:dyDescent="0.35">
      <c r="A148" s="9">
        <f t="shared" si="0"/>
        <v>137</v>
      </c>
      <c r="B148" s="13" t="s">
        <v>845</v>
      </c>
      <c r="C148" s="91">
        <v>-18</v>
      </c>
      <c r="D148" s="10" t="s">
        <v>290</v>
      </c>
      <c r="E148" s="11">
        <v>424.60349999999994</v>
      </c>
      <c r="F148" s="15">
        <f t="shared" si="2"/>
        <v>-7642.8629999999994</v>
      </c>
      <c r="I148" s="279"/>
    </row>
    <row r="149" spans="1:9" x14ac:dyDescent="0.35">
      <c r="A149" s="9">
        <f t="shared" si="0"/>
        <v>138</v>
      </c>
      <c r="B149" s="13" t="s">
        <v>863</v>
      </c>
      <c r="C149" s="91">
        <v>-27</v>
      </c>
      <c r="D149" s="10" t="s">
        <v>290</v>
      </c>
      <c r="E149" s="11">
        <v>1374.6669999999999</v>
      </c>
      <c r="F149" s="15">
        <f t="shared" si="2"/>
        <v>-37116.008999999998</v>
      </c>
      <c r="I149" s="279"/>
    </row>
    <row r="150" spans="1:9" x14ac:dyDescent="0.35">
      <c r="A150" s="9">
        <f t="shared" ref="A150:A159" si="3">ROW()-11</f>
        <v>139</v>
      </c>
      <c r="B150" s="13" t="s">
        <v>847</v>
      </c>
      <c r="C150" s="91">
        <v>-17</v>
      </c>
      <c r="D150" s="10" t="s">
        <v>290</v>
      </c>
      <c r="E150" s="11">
        <v>394.64325000000002</v>
      </c>
      <c r="F150" s="15">
        <f t="shared" si="2"/>
        <v>-6708.9352500000005</v>
      </c>
      <c r="I150" s="279"/>
    </row>
    <row r="151" spans="1:9" x14ac:dyDescent="0.35">
      <c r="A151" s="9">
        <f t="shared" si="3"/>
        <v>140</v>
      </c>
      <c r="B151" s="13" t="s">
        <v>864</v>
      </c>
      <c r="C151" s="91">
        <v>-55</v>
      </c>
      <c r="D151" s="10" t="s">
        <v>290</v>
      </c>
      <c r="E151" s="11">
        <v>394.64325000000002</v>
      </c>
      <c r="F151" s="15">
        <f t="shared" si="2"/>
        <v>-21705.37875</v>
      </c>
      <c r="I151" s="279"/>
    </row>
    <row r="152" spans="1:9" x14ac:dyDescent="0.35">
      <c r="A152" s="9">
        <f t="shared" si="3"/>
        <v>141</v>
      </c>
      <c r="B152" s="13" t="s">
        <v>849</v>
      </c>
      <c r="C152" s="91">
        <v>-17</v>
      </c>
      <c r="D152" s="10" t="s">
        <v>290</v>
      </c>
      <c r="E152" s="11">
        <v>399.09375</v>
      </c>
      <c r="F152" s="15">
        <f t="shared" si="2"/>
        <v>-6784.59375</v>
      </c>
      <c r="I152" s="279"/>
    </row>
    <row r="153" spans="1:9" x14ac:dyDescent="0.35">
      <c r="A153" s="9">
        <f t="shared" si="3"/>
        <v>142</v>
      </c>
      <c r="B153" s="13" t="s">
        <v>850</v>
      </c>
      <c r="C153" s="91">
        <v>-5</v>
      </c>
      <c r="D153" s="10" t="s">
        <v>290</v>
      </c>
      <c r="E153" s="11">
        <v>703.24349999999993</v>
      </c>
      <c r="F153" s="15">
        <f t="shared" si="2"/>
        <v>-3516.2174999999997</v>
      </c>
      <c r="I153" s="279"/>
    </row>
    <row r="154" spans="1:9" x14ac:dyDescent="0.35">
      <c r="A154" s="9">
        <f t="shared" si="3"/>
        <v>143</v>
      </c>
      <c r="B154" s="13" t="s">
        <v>851</v>
      </c>
      <c r="C154" s="91">
        <v>-20</v>
      </c>
      <c r="D154" s="10" t="s">
        <v>290</v>
      </c>
      <c r="E154" s="11">
        <v>783.64274999999998</v>
      </c>
      <c r="F154" s="15">
        <f t="shared" si="2"/>
        <v>-15672.855</v>
      </c>
      <c r="I154" s="279"/>
    </row>
    <row r="155" spans="1:9" x14ac:dyDescent="0.35">
      <c r="A155" s="9">
        <f t="shared" si="3"/>
        <v>144</v>
      </c>
      <c r="B155" s="13" t="s">
        <v>852</v>
      </c>
      <c r="C155" s="91">
        <v>-223.27</v>
      </c>
      <c r="D155" s="10" t="s">
        <v>300</v>
      </c>
      <c r="E155" s="11">
        <v>248.22825</v>
      </c>
      <c r="F155" s="15">
        <f t="shared" si="2"/>
        <v>-55421.921377500003</v>
      </c>
      <c r="I155" s="279"/>
    </row>
    <row r="156" spans="1:9" x14ac:dyDescent="0.35">
      <c r="A156" s="9">
        <f t="shared" si="3"/>
        <v>145</v>
      </c>
      <c r="B156" s="13" t="s">
        <v>853</v>
      </c>
      <c r="C156" s="91">
        <v>-620.48</v>
      </c>
      <c r="D156" s="10" t="s">
        <v>300</v>
      </c>
      <c r="E156" s="11">
        <v>207.14175</v>
      </c>
      <c r="F156" s="15">
        <f t="shared" si="2"/>
        <v>-128527.31304000001</v>
      </c>
      <c r="I156" s="279"/>
    </row>
    <row r="157" spans="1:9" x14ac:dyDescent="0.35">
      <c r="A157" s="9">
        <f t="shared" si="3"/>
        <v>146</v>
      </c>
      <c r="B157" s="13" t="s">
        <v>865</v>
      </c>
      <c r="C157" s="91">
        <v>-16.72</v>
      </c>
      <c r="D157" s="10" t="s">
        <v>300</v>
      </c>
      <c r="E157" s="11">
        <v>207.14175</v>
      </c>
      <c r="F157" s="15">
        <f t="shared" si="2"/>
        <v>-3463.4100599999997</v>
      </c>
      <c r="I157" s="279"/>
    </row>
    <row r="158" spans="1:9" x14ac:dyDescent="0.35">
      <c r="A158" s="9">
        <f t="shared" si="3"/>
        <v>147</v>
      </c>
      <c r="B158" s="13" t="s">
        <v>854</v>
      </c>
      <c r="C158" s="91">
        <v>-44</v>
      </c>
      <c r="D158" s="10" t="s">
        <v>290</v>
      </c>
      <c r="E158" s="11">
        <v>662.09249999999997</v>
      </c>
      <c r="F158" s="15">
        <f t="shared" si="2"/>
        <v>-29132.07</v>
      </c>
      <c r="I158" s="279"/>
    </row>
    <row r="159" spans="1:9" x14ac:dyDescent="0.35">
      <c r="A159" s="9">
        <f t="shared" si="3"/>
        <v>148</v>
      </c>
      <c r="B159" s="13" t="s">
        <v>855</v>
      </c>
      <c r="C159" s="91">
        <v>-16</v>
      </c>
      <c r="D159" s="10" t="s">
        <v>290</v>
      </c>
      <c r="E159" s="11">
        <v>522.64350000000002</v>
      </c>
      <c r="F159" s="15">
        <f t="shared" si="2"/>
        <v>-8362.2960000000003</v>
      </c>
      <c r="I159" s="279"/>
    </row>
    <row r="160" spans="1:9" x14ac:dyDescent="0.35">
      <c r="A160" s="9">
        <f t="shared" si="0"/>
        <v>149</v>
      </c>
      <c r="B160" s="13" t="s">
        <v>856</v>
      </c>
      <c r="C160" s="91">
        <v>-30.16</v>
      </c>
      <c r="D160" s="10" t="s">
        <v>300</v>
      </c>
      <c r="E160" s="11">
        <v>230.74875</v>
      </c>
      <c r="F160" s="15">
        <f t="shared" si="2"/>
        <v>-6959.3823000000002</v>
      </c>
      <c r="I160" s="279"/>
    </row>
    <row r="161" spans="1:9" x14ac:dyDescent="0.35">
      <c r="A161" s="9">
        <f t="shared" si="0"/>
        <v>150</v>
      </c>
      <c r="B161" s="13" t="s">
        <v>866</v>
      </c>
      <c r="C161" s="91">
        <v>-24</v>
      </c>
      <c r="D161" s="10" t="s">
        <v>300</v>
      </c>
      <c r="E161" s="11">
        <v>230.74875</v>
      </c>
      <c r="F161" s="15">
        <f t="shared" si="2"/>
        <v>-5537.97</v>
      </c>
      <c r="I161" s="279"/>
    </row>
    <row r="162" spans="1:9" x14ac:dyDescent="0.35">
      <c r="A162" s="9">
        <f t="shared" si="0"/>
        <v>151</v>
      </c>
      <c r="B162" s="13" t="s">
        <v>867</v>
      </c>
      <c r="C162" s="91">
        <v>-14.77</v>
      </c>
      <c r="D162" s="10" t="s">
        <v>300</v>
      </c>
      <c r="E162" s="11">
        <v>108.79859999999999</v>
      </c>
      <c r="F162" s="15">
        <f t="shared" si="2"/>
        <v>-1606.9553219999998</v>
      </c>
      <c r="I162" s="279"/>
    </row>
    <row r="163" spans="1:9" x14ac:dyDescent="0.35">
      <c r="A163" s="9">
        <f t="shared" si="0"/>
        <v>152</v>
      </c>
      <c r="B163" s="13" t="s">
        <v>858</v>
      </c>
      <c r="C163" s="91">
        <v>-14.87</v>
      </c>
      <c r="D163" s="10" t="s">
        <v>300</v>
      </c>
      <c r="E163" s="11">
        <v>108.79859999999999</v>
      </c>
      <c r="F163" s="15">
        <f t="shared" si="2"/>
        <v>-1617.8351819999998</v>
      </c>
      <c r="I163" s="279"/>
    </row>
    <row r="164" spans="1:9" x14ac:dyDescent="0.35">
      <c r="A164" s="9">
        <f t="shared" si="0"/>
        <v>153</v>
      </c>
      <c r="B164" s="13" t="s">
        <v>420</v>
      </c>
      <c r="C164" s="91">
        <v>-14750.79</v>
      </c>
      <c r="D164" s="10" t="s">
        <v>300</v>
      </c>
      <c r="E164" s="11">
        <v>11.378444999999999</v>
      </c>
      <c r="F164" s="15">
        <f t="shared" si="2"/>
        <v>-167841.05272154999</v>
      </c>
      <c r="I164" s="279"/>
    </row>
    <row r="165" spans="1:9" x14ac:dyDescent="0.35">
      <c r="A165" s="9">
        <f t="shared" si="0"/>
        <v>154</v>
      </c>
      <c r="B165" s="13" t="s">
        <v>421</v>
      </c>
      <c r="C165" s="91">
        <v>-44252.37</v>
      </c>
      <c r="D165" s="10" t="s">
        <v>300</v>
      </c>
      <c r="E165" s="11">
        <v>1.1848649999999998</v>
      </c>
      <c r="F165" s="15">
        <f t="shared" ref="F165" si="4">C165*E165</f>
        <v>-52433.084380049993</v>
      </c>
      <c r="I165" s="279"/>
    </row>
    <row r="166" spans="1:9" x14ac:dyDescent="0.35">
      <c r="A166" s="9">
        <f t="shared" si="0"/>
        <v>155</v>
      </c>
      <c r="B166" s="9"/>
      <c r="C166" s="91"/>
      <c r="D166" s="10"/>
      <c r="E166" s="11"/>
      <c r="F166" s="20" t="s">
        <v>6</v>
      </c>
    </row>
    <row r="167" spans="1:9" x14ac:dyDescent="0.35">
      <c r="A167" s="9">
        <f t="shared" si="0"/>
        <v>156</v>
      </c>
      <c r="B167" s="13" t="s">
        <v>207</v>
      </c>
      <c r="C167" s="91"/>
      <c r="D167" s="10"/>
      <c r="E167" s="11"/>
      <c r="F167" s="15">
        <f>SUM(F101:F166)</f>
        <v>176464.02632439995</v>
      </c>
    </row>
    <row r="168" spans="1:9" x14ac:dyDescent="0.35">
      <c r="A168" s="9">
        <f t="shared" si="0"/>
        <v>157</v>
      </c>
      <c r="B168" s="13" t="s">
        <v>208</v>
      </c>
      <c r="C168" s="104">
        <f>SUM!$L$46-1</f>
        <v>0.4873997600000004</v>
      </c>
      <c r="D168" s="10"/>
      <c r="E168" s="11"/>
      <c r="F168" s="15">
        <f>C168*F167</f>
        <v>86008.524079146286</v>
      </c>
    </row>
    <row r="169" spans="1:9" x14ac:dyDescent="0.35">
      <c r="A169" s="9">
        <f t="shared" si="0"/>
        <v>158</v>
      </c>
      <c r="B169" s="9"/>
      <c r="C169" s="91"/>
      <c r="D169" s="10"/>
      <c r="E169" s="11"/>
      <c r="F169" s="20" t="s">
        <v>6</v>
      </c>
    </row>
    <row r="170" spans="1:9" x14ac:dyDescent="0.35">
      <c r="A170" s="9">
        <f t="shared" si="0"/>
        <v>159</v>
      </c>
      <c r="B170" s="13" t="str">
        <f>"Total " &amp; B100</f>
        <v>Total L1a Upgrade interior lighting to be 20-30% better than baseline (With DALI)</v>
      </c>
      <c r="C170" s="91"/>
      <c r="D170" s="10"/>
      <c r="E170" s="11"/>
      <c r="F170" s="15">
        <f>SUM(F167:F169)</f>
        <v>262472.55040354625</v>
      </c>
    </row>
    <row r="171" spans="1:9" x14ac:dyDescent="0.35">
      <c r="A171" s="9">
        <f t="shared" si="0"/>
        <v>160</v>
      </c>
      <c r="B171" s="13"/>
      <c r="C171" s="91"/>
      <c r="D171" s="10"/>
      <c r="E171" s="11"/>
      <c r="F171" s="15"/>
    </row>
    <row r="172" spans="1:9" x14ac:dyDescent="0.35">
      <c r="A172" s="9">
        <f t="shared" si="0"/>
        <v>161</v>
      </c>
      <c r="B172" s="13"/>
      <c r="C172" s="91"/>
      <c r="D172" s="10"/>
      <c r="E172" s="11"/>
      <c r="F172" s="15"/>
    </row>
    <row r="173" spans="1:9" x14ac:dyDescent="0.35">
      <c r="A173" s="42">
        <f t="shared" si="0"/>
        <v>162</v>
      </c>
      <c r="B173" s="62" t="str">
        <f>_xlfn.CONCAT('ECM-SUM'!B22,'ECM-SUM'!C22)</f>
        <v>L1b Upgrade interior lighting to be 20-30% better than baseline (With Out DALI)</v>
      </c>
      <c r="C173" s="92"/>
      <c r="D173" s="63"/>
      <c r="E173" s="65"/>
      <c r="F173" s="42"/>
    </row>
    <row r="174" spans="1:9" x14ac:dyDescent="0.35">
      <c r="A174" s="9">
        <f t="shared" si="0"/>
        <v>163</v>
      </c>
      <c r="B174" s="9"/>
      <c r="C174" s="91"/>
      <c r="D174" s="10"/>
      <c r="E174" s="11"/>
      <c r="F174" s="18"/>
    </row>
    <row r="175" spans="1:9" x14ac:dyDescent="0.35">
      <c r="A175" s="9">
        <f t="shared" ref="A175:A238" si="5">ROW()-11</f>
        <v>164</v>
      </c>
      <c r="B175" s="9" t="s">
        <v>286</v>
      </c>
      <c r="C175" s="91"/>
      <c r="D175" s="10"/>
      <c r="E175" s="11"/>
      <c r="F175" s="18"/>
    </row>
    <row r="176" spans="1:9" x14ac:dyDescent="0.35">
      <c r="A176" s="9">
        <f t="shared" si="5"/>
        <v>165</v>
      </c>
      <c r="B176" s="13" t="s">
        <v>830</v>
      </c>
      <c r="C176" s="91">
        <v>1</v>
      </c>
      <c r="D176" s="10" t="s">
        <v>31</v>
      </c>
      <c r="E176" s="11">
        <v>58022.400000000001</v>
      </c>
      <c r="F176" s="15">
        <f t="shared" ref="F176:F208" si="6">C176*E176</f>
        <v>58022.400000000001</v>
      </c>
    </row>
    <row r="177" spans="1:6" x14ac:dyDescent="0.35">
      <c r="A177" s="9">
        <f t="shared" si="5"/>
        <v>166</v>
      </c>
      <c r="B177" s="13" t="s">
        <v>831</v>
      </c>
      <c r="C177" s="91">
        <v>1</v>
      </c>
      <c r="D177" s="10" t="s">
        <v>31</v>
      </c>
      <c r="E177" s="11">
        <v>2988</v>
      </c>
      <c r="F177" s="15">
        <f t="shared" si="6"/>
        <v>2988</v>
      </c>
    </row>
    <row r="178" spans="1:6" x14ac:dyDescent="0.35">
      <c r="A178" s="9">
        <f t="shared" si="5"/>
        <v>167</v>
      </c>
      <c r="B178" s="13" t="s">
        <v>832</v>
      </c>
      <c r="C178" s="91">
        <v>1</v>
      </c>
      <c r="D178" s="10" t="s">
        <v>31</v>
      </c>
      <c r="E178" s="11">
        <v>332284.79999999999</v>
      </c>
      <c r="F178" s="15">
        <f t="shared" si="6"/>
        <v>332284.79999999999</v>
      </c>
    </row>
    <row r="179" spans="1:6" x14ac:dyDescent="0.35">
      <c r="A179" s="9">
        <f t="shared" si="5"/>
        <v>168</v>
      </c>
      <c r="B179" s="13" t="s">
        <v>833</v>
      </c>
      <c r="C179" s="91">
        <v>1</v>
      </c>
      <c r="D179" s="10" t="s">
        <v>31</v>
      </c>
      <c r="E179" s="11">
        <v>3864</v>
      </c>
      <c r="F179" s="15">
        <f t="shared" si="6"/>
        <v>3864</v>
      </c>
    </row>
    <row r="180" spans="1:6" x14ac:dyDescent="0.35">
      <c r="A180" s="9">
        <f t="shared" si="5"/>
        <v>169</v>
      </c>
      <c r="B180" s="13" t="s">
        <v>834</v>
      </c>
      <c r="C180" s="91">
        <v>1</v>
      </c>
      <c r="D180" s="10" t="s">
        <v>31</v>
      </c>
      <c r="E180" s="11">
        <v>209767.19999999998</v>
      </c>
      <c r="F180" s="15">
        <f t="shared" si="6"/>
        <v>209767.19999999998</v>
      </c>
    </row>
    <row r="181" spans="1:6" x14ac:dyDescent="0.35">
      <c r="A181" s="9">
        <f t="shared" si="5"/>
        <v>170</v>
      </c>
      <c r="B181" s="13" t="s">
        <v>835</v>
      </c>
      <c r="C181" s="91">
        <v>212</v>
      </c>
      <c r="D181" s="10" t="s">
        <v>290</v>
      </c>
      <c r="E181" s="11">
        <v>223.49</v>
      </c>
      <c r="F181" s="15">
        <f t="shared" si="6"/>
        <v>47379.880000000005</v>
      </c>
    </row>
    <row r="182" spans="1:6" x14ac:dyDescent="0.35">
      <c r="A182" s="9">
        <f t="shared" si="5"/>
        <v>171</v>
      </c>
      <c r="B182" s="13" t="s">
        <v>836</v>
      </c>
      <c r="C182" s="91">
        <v>72</v>
      </c>
      <c r="D182" s="10" t="s">
        <v>290</v>
      </c>
      <c r="E182" s="11">
        <v>223.49</v>
      </c>
      <c r="F182" s="15">
        <f t="shared" si="6"/>
        <v>16091.28</v>
      </c>
    </row>
    <row r="183" spans="1:6" x14ac:dyDescent="0.35">
      <c r="A183" s="9">
        <f t="shared" si="5"/>
        <v>172</v>
      </c>
      <c r="B183" s="13" t="s">
        <v>837</v>
      </c>
      <c r="C183" s="91">
        <v>151</v>
      </c>
      <c r="D183" s="10" t="s">
        <v>300</v>
      </c>
      <c r="E183" s="11">
        <v>67.05</v>
      </c>
      <c r="F183" s="15">
        <f t="shared" si="6"/>
        <v>10124.549999999999</v>
      </c>
    </row>
    <row r="184" spans="1:6" x14ac:dyDescent="0.35">
      <c r="A184" s="9">
        <f t="shared" si="5"/>
        <v>173</v>
      </c>
      <c r="B184" s="13" t="s">
        <v>838</v>
      </c>
      <c r="C184" s="91">
        <v>66</v>
      </c>
      <c r="D184" s="10" t="s">
        <v>300</v>
      </c>
      <c r="E184" s="11">
        <v>67.05</v>
      </c>
      <c r="F184" s="15">
        <f t="shared" si="6"/>
        <v>4425.3</v>
      </c>
    </row>
    <row r="185" spans="1:6" x14ac:dyDescent="0.35">
      <c r="A185" s="9">
        <f t="shared" si="5"/>
        <v>174</v>
      </c>
      <c r="B185" s="13" t="s">
        <v>839</v>
      </c>
      <c r="C185" s="91">
        <v>38</v>
      </c>
      <c r="D185" s="10" t="s">
        <v>290</v>
      </c>
      <c r="E185" s="11">
        <v>193.69</v>
      </c>
      <c r="F185" s="15">
        <f t="shared" si="6"/>
        <v>7360.22</v>
      </c>
    </row>
    <row r="186" spans="1:6" x14ac:dyDescent="0.35">
      <c r="A186" s="9">
        <f t="shared" si="5"/>
        <v>175</v>
      </c>
      <c r="B186" s="13" t="s">
        <v>840</v>
      </c>
      <c r="C186" s="91">
        <v>35</v>
      </c>
      <c r="D186" s="10" t="s">
        <v>290</v>
      </c>
      <c r="E186" s="11">
        <v>201.14</v>
      </c>
      <c r="F186" s="15">
        <f t="shared" si="6"/>
        <v>7039.9</v>
      </c>
    </row>
    <row r="187" spans="1:6" x14ac:dyDescent="0.35">
      <c r="A187" s="9">
        <f t="shared" si="5"/>
        <v>176</v>
      </c>
      <c r="B187" s="13" t="s">
        <v>841</v>
      </c>
      <c r="C187" s="91">
        <v>44</v>
      </c>
      <c r="D187" s="10" t="s">
        <v>290</v>
      </c>
      <c r="E187" s="11">
        <v>297.99</v>
      </c>
      <c r="F187" s="15">
        <f t="shared" si="6"/>
        <v>13111.560000000001</v>
      </c>
    </row>
    <row r="188" spans="1:6" x14ac:dyDescent="0.35">
      <c r="A188" s="9">
        <f t="shared" si="5"/>
        <v>177</v>
      </c>
      <c r="B188" s="13" t="s">
        <v>842</v>
      </c>
      <c r="C188" s="91">
        <v>4</v>
      </c>
      <c r="D188" s="10" t="s">
        <v>290</v>
      </c>
      <c r="E188" s="11">
        <v>446.99</v>
      </c>
      <c r="F188" s="15">
        <f t="shared" si="6"/>
        <v>1787.96</v>
      </c>
    </row>
    <row r="189" spans="1:6" x14ac:dyDescent="0.35">
      <c r="A189" s="9">
        <f t="shared" si="5"/>
        <v>178</v>
      </c>
      <c r="B189" s="13" t="s">
        <v>843</v>
      </c>
      <c r="C189" s="91">
        <v>13</v>
      </c>
      <c r="D189" s="10" t="s">
        <v>290</v>
      </c>
      <c r="E189" s="11">
        <v>297.99</v>
      </c>
      <c r="F189" s="15">
        <f t="shared" si="6"/>
        <v>3873.87</v>
      </c>
    </row>
    <row r="190" spans="1:6" x14ac:dyDescent="0.35">
      <c r="A190" s="9">
        <f t="shared" si="5"/>
        <v>179</v>
      </c>
      <c r="B190" s="13" t="s">
        <v>844</v>
      </c>
      <c r="C190" s="91">
        <v>16</v>
      </c>
      <c r="D190" s="10" t="s">
        <v>290</v>
      </c>
      <c r="E190" s="11">
        <v>297.99</v>
      </c>
      <c r="F190" s="15">
        <f t="shared" si="6"/>
        <v>4767.84</v>
      </c>
    </row>
    <row r="191" spans="1:6" x14ac:dyDescent="0.35">
      <c r="A191" s="9">
        <f t="shared" si="5"/>
        <v>180</v>
      </c>
      <c r="B191" s="13" t="s">
        <v>845</v>
      </c>
      <c r="C191" s="91">
        <v>18</v>
      </c>
      <c r="D191" s="10" t="s">
        <v>290</v>
      </c>
      <c r="E191" s="11">
        <v>424.6</v>
      </c>
      <c r="F191" s="15">
        <f t="shared" si="6"/>
        <v>7642.8</v>
      </c>
    </row>
    <row r="192" spans="1:6" x14ac:dyDescent="0.35">
      <c r="A192" s="9">
        <f t="shared" si="5"/>
        <v>181</v>
      </c>
      <c r="B192" s="13" t="s">
        <v>846</v>
      </c>
      <c r="C192" s="91">
        <v>28</v>
      </c>
      <c r="D192" s="10" t="s">
        <v>290</v>
      </c>
      <c r="E192" s="11">
        <v>238.39</v>
      </c>
      <c r="F192" s="15">
        <f t="shared" si="6"/>
        <v>6674.92</v>
      </c>
    </row>
    <row r="193" spans="1:6" x14ac:dyDescent="0.35">
      <c r="A193" s="9">
        <f t="shared" si="5"/>
        <v>182</v>
      </c>
      <c r="B193" s="13" t="s">
        <v>847</v>
      </c>
      <c r="C193" s="91">
        <v>14</v>
      </c>
      <c r="D193" s="10" t="s">
        <v>290</v>
      </c>
      <c r="E193" s="11">
        <v>201.14</v>
      </c>
      <c r="F193" s="15">
        <f t="shared" si="6"/>
        <v>2815.96</v>
      </c>
    </row>
    <row r="194" spans="1:6" x14ac:dyDescent="0.35">
      <c r="A194" s="9">
        <f t="shared" si="5"/>
        <v>183</v>
      </c>
      <c r="B194" s="13" t="s">
        <v>848</v>
      </c>
      <c r="C194" s="91">
        <v>55</v>
      </c>
      <c r="D194" s="10" t="s">
        <v>290</v>
      </c>
      <c r="E194" s="11">
        <v>201.14</v>
      </c>
      <c r="F194" s="15">
        <f t="shared" si="6"/>
        <v>11062.699999999999</v>
      </c>
    </row>
    <row r="195" spans="1:6" x14ac:dyDescent="0.35">
      <c r="A195" s="9">
        <f t="shared" si="5"/>
        <v>184</v>
      </c>
      <c r="B195" s="13" t="s">
        <v>849</v>
      </c>
      <c r="C195" s="91">
        <v>16</v>
      </c>
      <c r="D195" s="10" t="s">
        <v>290</v>
      </c>
      <c r="E195" s="11">
        <v>186.24</v>
      </c>
      <c r="F195" s="15">
        <f t="shared" si="6"/>
        <v>2979.84</v>
      </c>
    </row>
    <row r="196" spans="1:6" x14ac:dyDescent="0.35">
      <c r="A196" s="9">
        <f t="shared" si="5"/>
        <v>185</v>
      </c>
      <c r="B196" s="13" t="s">
        <v>850</v>
      </c>
      <c r="C196" s="91">
        <v>6</v>
      </c>
      <c r="D196" s="10" t="s">
        <v>290</v>
      </c>
      <c r="E196" s="11">
        <v>193.69</v>
      </c>
      <c r="F196" s="15">
        <f t="shared" si="6"/>
        <v>1162.1399999999999</v>
      </c>
    </row>
    <row r="197" spans="1:6" x14ac:dyDescent="0.35">
      <c r="A197" s="9">
        <f t="shared" si="5"/>
        <v>186</v>
      </c>
      <c r="B197" s="13" t="s">
        <v>851</v>
      </c>
      <c r="C197" s="91">
        <v>16</v>
      </c>
      <c r="D197" s="10" t="s">
        <v>290</v>
      </c>
      <c r="E197" s="11">
        <v>216.04</v>
      </c>
      <c r="F197" s="15">
        <f t="shared" si="6"/>
        <v>3456.64</v>
      </c>
    </row>
    <row r="198" spans="1:6" x14ac:dyDescent="0.35">
      <c r="A198" s="9">
        <f t="shared" si="5"/>
        <v>187</v>
      </c>
      <c r="B198" s="13" t="s">
        <v>852</v>
      </c>
      <c r="C198" s="91">
        <v>139</v>
      </c>
      <c r="D198" s="10" t="s">
        <v>290</v>
      </c>
      <c r="E198" s="11">
        <v>52.15</v>
      </c>
      <c r="F198" s="15">
        <f t="shared" si="6"/>
        <v>7248.8499999999995</v>
      </c>
    </row>
    <row r="199" spans="1:6" x14ac:dyDescent="0.35">
      <c r="A199" s="9">
        <f t="shared" si="5"/>
        <v>188</v>
      </c>
      <c r="B199" s="13" t="s">
        <v>853</v>
      </c>
      <c r="C199" s="91">
        <v>467</v>
      </c>
      <c r="D199" s="10" t="s">
        <v>300</v>
      </c>
      <c r="E199" s="11">
        <v>59.6</v>
      </c>
      <c r="F199" s="15">
        <f t="shared" si="6"/>
        <v>27833.200000000001</v>
      </c>
    </row>
    <row r="200" spans="1:6" x14ac:dyDescent="0.35">
      <c r="A200" s="9">
        <f t="shared" si="5"/>
        <v>189</v>
      </c>
      <c r="B200" s="13" t="s">
        <v>854</v>
      </c>
      <c r="C200" s="91">
        <v>44</v>
      </c>
      <c r="D200" s="10" t="s">
        <v>290</v>
      </c>
      <c r="E200" s="11">
        <v>223.49</v>
      </c>
      <c r="F200" s="15">
        <f t="shared" si="6"/>
        <v>9833.5600000000013</v>
      </c>
    </row>
    <row r="201" spans="1:6" x14ac:dyDescent="0.35">
      <c r="A201" s="9">
        <f t="shared" si="5"/>
        <v>190</v>
      </c>
      <c r="B201" s="13" t="s">
        <v>855</v>
      </c>
      <c r="C201" s="91">
        <v>41</v>
      </c>
      <c r="D201" s="10" t="s">
        <v>290</v>
      </c>
      <c r="E201" s="11">
        <v>193.69</v>
      </c>
      <c r="F201" s="15">
        <f t="shared" si="6"/>
        <v>7941.29</v>
      </c>
    </row>
    <row r="202" spans="1:6" x14ac:dyDescent="0.35">
      <c r="A202" s="9">
        <f t="shared" si="5"/>
        <v>191</v>
      </c>
      <c r="B202" s="13" t="s">
        <v>856</v>
      </c>
      <c r="C202" s="91">
        <v>6</v>
      </c>
      <c r="D202" s="10" t="s">
        <v>290</v>
      </c>
      <c r="E202" s="11">
        <v>37.25</v>
      </c>
      <c r="F202" s="15">
        <f t="shared" si="6"/>
        <v>223.5</v>
      </c>
    </row>
    <row r="203" spans="1:6" x14ac:dyDescent="0.35">
      <c r="A203" s="9">
        <f t="shared" si="5"/>
        <v>192</v>
      </c>
      <c r="B203" s="13" t="s">
        <v>857</v>
      </c>
      <c r="C203" s="91">
        <v>11</v>
      </c>
      <c r="D203" s="10" t="s">
        <v>290</v>
      </c>
      <c r="E203" s="11">
        <v>37.25</v>
      </c>
      <c r="F203" s="15">
        <f t="shared" si="6"/>
        <v>409.75</v>
      </c>
    </row>
    <row r="204" spans="1:6" x14ac:dyDescent="0.35">
      <c r="A204" s="9">
        <f t="shared" si="5"/>
        <v>193</v>
      </c>
      <c r="B204" s="13" t="s">
        <v>858</v>
      </c>
      <c r="C204" s="91">
        <v>23</v>
      </c>
      <c r="D204" s="10" t="s">
        <v>300</v>
      </c>
      <c r="E204" s="11">
        <v>108.8</v>
      </c>
      <c r="F204" s="15">
        <f t="shared" si="6"/>
        <v>2502.4</v>
      </c>
    </row>
    <row r="205" spans="1:6" x14ac:dyDescent="0.35">
      <c r="A205" s="9">
        <f t="shared" si="5"/>
        <v>194</v>
      </c>
      <c r="B205" s="13" t="s">
        <v>859</v>
      </c>
      <c r="C205" s="91">
        <v>17</v>
      </c>
      <c r="D205" s="10" t="s">
        <v>300</v>
      </c>
      <c r="E205" s="11">
        <v>108.8</v>
      </c>
      <c r="F205" s="15">
        <f t="shared" si="6"/>
        <v>1849.6</v>
      </c>
    </row>
    <row r="206" spans="1:6" x14ac:dyDescent="0.35">
      <c r="A206" s="9">
        <f t="shared" si="5"/>
        <v>195</v>
      </c>
      <c r="B206" s="13" t="s">
        <v>703</v>
      </c>
      <c r="C206" s="91">
        <v>14</v>
      </c>
      <c r="D206" s="10" t="s">
        <v>290</v>
      </c>
      <c r="E206" s="11">
        <v>238.39</v>
      </c>
      <c r="F206" s="15">
        <f t="shared" si="6"/>
        <v>3337.46</v>
      </c>
    </row>
    <row r="207" spans="1:6" x14ac:dyDescent="0.35">
      <c r="A207" s="9">
        <f t="shared" si="5"/>
        <v>196</v>
      </c>
      <c r="B207" s="13" t="s">
        <v>422</v>
      </c>
      <c r="C207" s="91">
        <v>17805.333333333332</v>
      </c>
      <c r="D207" s="10" t="s">
        <v>300</v>
      </c>
      <c r="E207" s="11">
        <v>11.378444999999999</v>
      </c>
      <c r="F207" s="15">
        <f t="shared" si="6"/>
        <v>202597.00603999998</v>
      </c>
    </row>
    <row r="208" spans="1:6" x14ac:dyDescent="0.35">
      <c r="A208" s="9">
        <f t="shared" si="5"/>
        <v>197</v>
      </c>
      <c r="B208" s="13" t="s">
        <v>860</v>
      </c>
      <c r="C208" s="91">
        <v>53416</v>
      </c>
      <c r="D208" s="10" t="s">
        <v>300</v>
      </c>
      <c r="E208" s="11">
        <v>1.1848649999999998</v>
      </c>
      <c r="F208" s="15">
        <f t="shared" si="6"/>
        <v>63290.748839999993</v>
      </c>
    </row>
    <row r="209" spans="1:9" x14ac:dyDescent="0.35">
      <c r="A209" s="9">
        <f t="shared" si="5"/>
        <v>198</v>
      </c>
      <c r="B209" s="9"/>
      <c r="C209" s="91"/>
      <c r="D209" s="10"/>
      <c r="E209" s="11"/>
      <c r="F209" s="15"/>
    </row>
    <row r="210" spans="1:9" x14ac:dyDescent="0.35">
      <c r="A210" s="9">
        <f t="shared" si="5"/>
        <v>199</v>
      </c>
      <c r="B210" s="9" t="s">
        <v>288</v>
      </c>
      <c r="C210" s="91"/>
      <c r="D210" s="10"/>
      <c r="E210" s="11"/>
      <c r="F210" s="15"/>
    </row>
    <row r="211" spans="1:9" x14ac:dyDescent="0.35">
      <c r="A211" s="9">
        <f t="shared" si="5"/>
        <v>200</v>
      </c>
      <c r="B211" s="13" t="s">
        <v>835</v>
      </c>
      <c r="C211" s="91">
        <v>-298</v>
      </c>
      <c r="D211" s="10" t="s">
        <v>290</v>
      </c>
      <c r="E211" s="11">
        <v>697.5675</v>
      </c>
      <c r="F211" s="15">
        <f t="shared" ref="F211:F238" si="7">C211*E211</f>
        <v>-207875.11499999999</v>
      </c>
      <c r="I211" s="279"/>
    </row>
    <row r="212" spans="1:9" x14ac:dyDescent="0.35">
      <c r="A212" s="9">
        <f t="shared" si="5"/>
        <v>201</v>
      </c>
      <c r="B212" s="13" t="s">
        <v>836</v>
      </c>
      <c r="C212" s="91">
        <v>-122</v>
      </c>
      <c r="D212" s="10" t="s">
        <v>290</v>
      </c>
      <c r="E212" s="11">
        <v>697.5675</v>
      </c>
      <c r="F212" s="15">
        <f t="shared" si="7"/>
        <v>-85103.235000000001</v>
      </c>
      <c r="I212" s="279"/>
    </row>
    <row r="213" spans="1:9" x14ac:dyDescent="0.35">
      <c r="A213" s="9">
        <f t="shared" si="5"/>
        <v>202</v>
      </c>
      <c r="B213" s="13" t="s">
        <v>837</v>
      </c>
      <c r="C213" s="91">
        <v>-165.04</v>
      </c>
      <c r="D213" s="10" t="s">
        <v>300</v>
      </c>
      <c r="E213" s="11">
        <v>176.69774999999998</v>
      </c>
      <c r="F213" s="15">
        <f t="shared" si="7"/>
        <v>-29162.196659999998</v>
      </c>
      <c r="I213" s="279"/>
    </row>
    <row r="214" spans="1:9" x14ac:dyDescent="0.35">
      <c r="A214" s="9">
        <f t="shared" si="5"/>
        <v>203</v>
      </c>
      <c r="B214" s="13" t="s">
        <v>838</v>
      </c>
      <c r="C214" s="91">
        <v>-44.55</v>
      </c>
      <c r="D214" s="10" t="s">
        <v>300</v>
      </c>
      <c r="E214" s="11">
        <v>176.69774999999998</v>
      </c>
      <c r="F214" s="15">
        <f t="shared" si="7"/>
        <v>-7871.8847624999989</v>
      </c>
      <c r="I214" s="279"/>
    </row>
    <row r="215" spans="1:9" x14ac:dyDescent="0.35">
      <c r="A215" s="9">
        <f t="shared" si="5"/>
        <v>204</v>
      </c>
      <c r="B215" s="13" t="s">
        <v>839</v>
      </c>
      <c r="C215" s="91">
        <v>-36</v>
      </c>
      <c r="D215" s="10" t="s">
        <v>290</v>
      </c>
      <c r="E215" s="11">
        <v>400.09349999999995</v>
      </c>
      <c r="F215" s="15">
        <f t="shared" si="7"/>
        <v>-14403.365999999998</v>
      </c>
      <c r="I215" s="279"/>
    </row>
    <row r="216" spans="1:9" x14ac:dyDescent="0.35">
      <c r="A216" s="9">
        <f t="shared" si="5"/>
        <v>205</v>
      </c>
      <c r="B216" s="13" t="s">
        <v>840</v>
      </c>
      <c r="C216" s="91">
        <v>-68</v>
      </c>
      <c r="D216" s="10" t="s">
        <v>290</v>
      </c>
      <c r="E216" s="11">
        <v>446.24324999999999</v>
      </c>
      <c r="F216" s="15">
        <f t="shared" si="7"/>
        <v>-30344.540999999997</v>
      </c>
      <c r="I216" s="279"/>
    </row>
    <row r="217" spans="1:9" x14ac:dyDescent="0.35">
      <c r="A217" s="9">
        <f t="shared" si="5"/>
        <v>206</v>
      </c>
      <c r="B217" s="13" t="s">
        <v>841</v>
      </c>
      <c r="C217" s="91">
        <v>-45</v>
      </c>
      <c r="D217" s="10" t="s">
        <v>290</v>
      </c>
      <c r="E217" s="11">
        <v>1845.99</v>
      </c>
      <c r="F217" s="15">
        <f t="shared" si="7"/>
        <v>-83069.55</v>
      </c>
      <c r="I217" s="279"/>
    </row>
    <row r="218" spans="1:9" x14ac:dyDescent="0.35">
      <c r="A218" s="9">
        <f t="shared" si="5"/>
        <v>207</v>
      </c>
      <c r="B218" s="13" t="s">
        <v>842</v>
      </c>
      <c r="C218" s="91">
        <v>-3</v>
      </c>
      <c r="D218" s="10" t="s">
        <v>290</v>
      </c>
      <c r="E218" s="11">
        <v>2250.5124999999998</v>
      </c>
      <c r="F218" s="15">
        <f t="shared" si="7"/>
        <v>-6751.5374999999995</v>
      </c>
      <c r="I218" s="279"/>
    </row>
    <row r="219" spans="1:9" x14ac:dyDescent="0.35">
      <c r="A219" s="9">
        <f t="shared" si="5"/>
        <v>208</v>
      </c>
      <c r="B219" s="13" t="s">
        <v>843</v>
      </c>
      <c r="C219" s="91">
        <v>-13</v>
      </c>
      <c r="D219" s="10" t="s">
        <v>290</v>
      </c>
      <c r="E219" s="11">
        <v>1764.6684</v>
      </c>
      <c r="F219" s="15">
        <f t="shared" si="7"/>
        <v>-22940.689200000001</v>
      </c>
      <c r="I219" s="279"/>
    </row>
    <row r="220" spans="1:9" x14ac:dyDescent="0.35">
      <c r="A220" s="9">
        <f t="shared" si="5"/>
        <v>209</v>
      </c>
      <c r="B220" s="13" t="s">
        <v>862</v>
      </c>
      <c r="C220" s="91">
        <v>-16</v>
      </c>
      <c r="D220" s="10" t="s">
        <v>290</v>
      </c>
      <c r="E220" s="11">
        <v>1764.6684</v>
      </c>
      <c r="F220" s="15">
        <f t="shared" si="7"/>
        <v>-28234.6944</v>
      </c>
      <c r="I220" s="279"/>
    </row>
    <row r="221" spans="1:9" x14ac:dyDescent="0.35">
      <c r="A221" s="9">
        <f t="shared" si="5"/>
        <v>210</v>
      </c>
      <c r="B221" s="13" t="s">
        <v>845</v>
      </c>
      <c r="C221" s="91">
        <v>-18</v>
      </c>
      <c r="D221" s="10" t="s">
        <v>290</v>
      </c>
      <c r="E221" s="11">
        <v>424.60349999999994</v>
      </c>
      <c r="F221" s="15">
        <f t="shared" si="7"/>
        <v>-7642.8629999999994</v>
      </c>
      <c r="I221" s="279"/>
    </row>
    <row r="222" spans="1:9" x14ac:dyDescent="0.35">
      <c r="A222" s="9">
        <f t="shared" si="5"/>
        <v>211</v>
      </c>
      <c r="B222" s="13" t="s">
        <v>863</v>
      </c>
      <c r="C222" s="91">
        <v>-27</v>
      </c>
      <c r="D222" s="10" t="s">
        <v>290</v>
      </c>
      <c r="E222" s="11">
        <v>1374.6669999999999</v>
      </c>
      <c r="F222" s="15">
        <f t="shared" si="7"/>
        <v>-37116.008999999998</v>
      </c>
      <c r="I222" s="279"/>
    </row>
    <row r="223" spans="1:9" x14ac:dyDescent="0.35">
      <c r="A223" s="9">
        <f t="shared" si="5"/>
        <v>212</v>
      </c>
      <c r="B223" s="13" t="s">
        <v>847</v>
      </c>
      <c r="C223" s="91">
        <v>-17</v>
      </c>
      <c r="D223" s="10" t="s">
        <v>290</v>
      </c>
      <c r="E223" s="11">
        <v>394.64325000000002</v>
      </c>
      <c r="F223" s="15">
        <f t="shared" si="7"/>
        <v>-6708.9352500000005</v>
      </c>
      <c r="I223" s="279"/>
    </row>
    <row r="224" spans="1:9" x14ac:dyDescent="0.35">
      <c r="A224" s="9">
        <f t="shared" si="5"/>
        <v>213</v>
      </c>
      <c r="B224" s="13" t="s">
        <v>864</v>
      </c>
      <c r="C224" s="91">
        <v>-55</v>
      </c>
      <c r="D224" s="10" t="s">
        <v>290</v>
      </c>
      <c r="E224" s="11">
        <v>394.64325000000002</v>
      </c>
      <c r="F224" s="15">
        <f t="shared" si="7"/>
        <v>-21705.37875</v>
      </c>
      <c r="I224" s="279"/>
    </row>
    <row r="225" spans="1:9" x14ac:dyDescent="0.35">
      <c r="A225" s="9">
        <f t="shared" si="5"/>
        <v>214</v>
      </c>
      <c r="B225" s="13" t="s">
        <v>849</v>
      </c>
      <c r="C225" s="91">
        <v>-17</v>
      </c>
      <c r="D225" s="10" t="s">
        <v>290</v>
      </c>
      <c r="E225" s="11">
        <v>399.09375</v>
      </c>
      <c r="F225" s="15">
        <f t="shared" si="7"/>
        <v>-6784.59375</v>
      </c>
      <c r="I225" s="279"/>
    </row>
    <row r="226" spans="1:9" x14ac:dyDescent="0.35">
      <c r="A226" s="9">
        <f t="shared" si="5"/>
        <v>215</v>
      </c>
      <c r="B226" s="13" t="s">
        <v>850</v>
      </c>
      <c r="C226" s="91">
        <v>-5</v>
      </c>
      <c r="D226" s="10" t="s">
        <v>290</v>
      </c>
      <c r="E226" s="11">
        <v>703.24349999999993</v>
      </c>
      <c r="F226" s="15">
        <f t="shared" si="7"/>
        <v>-3516.2174999999997</v>
      </c>
      <c r="I226" s="279"/>
    </row>
    <row r="227" spans="1:9" x14ac:dyDescent="0.35">
      <c r="A227" s="9">
        <f t="shared" si="5"/>
        <v>216</v>
      </c>
      <c r="B227" s="13" t="s">
        <v>851</v>
      </c>
      <c r="C227" s="91">
        <v>-20</v>
      </c>
      <c r="D227" s="10" t="s">
        <v>290</v>
      </c>
      <c r="E227" s="11">
        <v>783.64274999999998</v>
      </c>
      <c r="F227" s="15">
        <f t="shared" si="7"/>
        <v>-15672.855</v>
      </c>
      <c r="I227" s="279"/>
    </row>
    <row r="228" spans="1:9" x14ac:dyDescent="0.35">
      <c r="A228" s="9">
        <f t="shared" si="5"/>
        <v>217</v>
      </c>
      <c r="B228" s="13" t="s">
        <v>852</v>
      </c>
      <c r="C228" s="91">
        <v>-223.27</v>
      </c>
      <c r="D228" s="10" t="s">
        <v>300</v>
      </c>
      <c r="E228" s="11">
        <v>248.22825</v>
      </c>
      <c r="F228" s="15">
        <f t="shared" si="7"/>
        <v>-55421.921377500003</v>
      </c>
      <c r="I228" s="279"/>
    </row>
    <row r="229" spans="1:9" x14ac:dyDescent="0.35">
      <c r="A229" s="9">
        <f t="shared" si="5"/>
        <v>218</v>
      </c>
      <c r="B229" s="13" t="s">
        <v>853</v>
      </c>
      <c r="C229" s="91">
        <v>-620.48</v>
      </c>
      <c r="D229" s="10" t="s">
        <v>300</v>
      </c>
      <c r="E229" s="11">
        <v>207.14175</v>
      </c>
      <c r="F229" s="15">
        <f t="shared" si="7"/>
        <v>-128527.31304000001</v>
      </c>
      <c r="I229" s="279"/>
    </row>
    <row r="230" spans="1:9" x14ac:dyDescent="0.35">
      <c r="A230" s="9">
        <f t="shared" si="5"/>
        <v>219</v>
      </c>
      <c r="B230" s="13" t="s">
        <v>865</v>
      </c>
      <c r="C230" s="91">
        <v>-16.72</v>
      </c>
      <c r="D230" s="10" t="s">
        <v>300</v>
      </c>
      <c r="E230" s="11">
        <v>207.14175</v>
      </c>
      <c r="F230" s="15">
        <f t="shared" si="7"/>
        <v>-3463.4100599999997</v>
      </c>
      <c r="I230" s="279"/>
    </row>
    <row r="231" spans="1:9" x14ac:dyDescent="0.35">
      <c r="A231" s="9">
        <f t="shared" si="5"/>
        <v>220</v>
      </c>
      <c r="B231" s="13" t="s">
        <v>854</v>
      </c>
      <c r="C231" s="91">
        <v>-44</v>
      </c>
      <c r="D231" s="10" t="s">
        <v>290</v>
      </c>
      <c r="E231" s="11">
        <v>662.09249999999997</v>
      </c>
      <c r="F231" s="15">
        <f t="shared" si="7"/>
        <v>-29132.07</v>
      </c>
      <c r="I231" s="279"/>
    </row>
    <row r="232" spans="1:9" x14ac:dyDescent="0.35">
      <c r="A232" s="9">
        <f t="shared" si="5"/>
        <v>221</v>
      </c>
      <c r="B232" s="13" t="s">
        <v>855</v>
      </c>
      <c r="C232" s="91">
        <v>-16</v>
      </c>
      <c r="D232" s="10" t="s">
        <v>290</v>
      </c>
      <c r="E232" s="11">
        <v>522.64350000000002</v>
      </c>
      <c r="F232" s="15">
        <f t="shared" si="7"/>
        <v>-8362.2960000000003</v>
      </c>
      <c r="I232" s="279"/>
    </row>
    <row r="233" spans="1:9" x14ac:dyDescent="0.35">
      <c r="A233" s="9">
        <f t="shared" si="5"/>
        <v>222</v>
      </c>
      <c r="B233" s="13" t="s">
        <v>856</v>
      </c>
      <c r="C233" s="91">
        <v>-30.16</v>
      </c>
      <c r="D233" s="10" t="s">
        <v>300</v>
      </c>
      <c r="E233" s="11">
        <v>230.74875</v>
      </c>
      <c r="F233" s="15">
        <f t="shared" si="7"/>
        <v>-6959.3823000000002</v>
      </c>
      <c r="I233" s="279"/>
    </row>
    <row r="234" spans="1:9" x14ac:dyDescent="0.35">
      <c r="A234" s="9">
        <f t="shared" si="5"/>
        <v>223</v>
      </c>
      <c r="B234" s="13" t="s">
        <v>866</v>
      </c>
      <c r="C234" s="91">
        <v>-24</v>
      </c>
      <c r="D234" s="10" t="s">
        <v>300</v>
      </c>
      <c r="E234" s="11">
        <v>230.74875</v>
      </c>
      <c r="F234" s="15">
        <f t="shared" si="7"/>
        <v>-5537.97</v>
      </c>
      <c r="I234" s="279"/>
    </row>
    <row r="235" spans="1:9" x14ac:dyDescent="0.35">
      <c r="A235" s="9">
        <f t="shared" si="5"/>
        <v>224</v>
      </c>
      <c r="B235" s="13" t="s">
        <v>867</v>
      </c>
      <c r="C235" s="91">
        <v>-14.77</v>
      </c>
      <c r="D235" s="10" t="s">
        <v>300</v>
      </c>
      <c r="E235" s="11">
        <v>108.79859999999999</v>
      </c>
      <c r="F235" s="15">
        <f t="shared" si="7"/>
        <v>-1606.9553219999998</v>
      </c>
      <c r="I235" s="279"/>
    </row>
    <row r="236" spans="1:9" x14ac:dyDescent="0.35">
      <c r="A236" s="9">
        <f t="shared" si="5"/>
        <v>225</v>
      </c>
      <c r="B236" s="13" t="s">
        <v>858</v>
      </c>
      <c r="C236" s="91">
        <v>-14.87</v>
      </c>
      <c r="D236" s="10" t="s">
        <v>300</v>
      </c>
      <c r="E236" s="11">
        <v>108.79859999999999</v>
      </c>
      <c r="F236" s="15">
        <f t="shared" si="7"/>
        <v>-1617.8351819999998</v>
      </c>
      <c r="I236" s="279"/>
    </row>
    <row r="237" spans="1:9" x14ac:dyDescent="0.35">
      <c r="A237" s="9">
        <f t="shared" si="5"/>
        <v>226</v>
      </c>
      <c r="B237" s="13" t="s">
        <v>420</v>
      </c>
      <c r="C237" s="91">
        <v>-14750.79</v>
      </c>
      <c r="D237" s="10" t="s">
        <v>300</v>
      </c>
      <c r="E237" s="11">
        <v>11.378444999999999</v>
      </c>
      <c r="F237" s="15">
        <f t="shared" si="7"/>
        <v>-167841.05272154999</v>
      </c>
      <c r="I237" s="279"/>
    </row>
    <row r="238" spans="1:9" x14ac:dyDescent="0.35">
      <c r="A238" s="9">
        <f t="shared" si="5"/>
        <v>227</v>
      </c>
      <c r="B238" s="13" t="s">
        <v>421</v>
      </c>
      <c r="C238" s="91">
        <v>-44252.37</v>
      </c>
      <c r="D238" s="10" t="s">
        <v>300</v>
      </c>
      <c r="E238" s="11">
        <v>1.1848649999999998</v>
      </c>
      <c r="F238" s="15">
        <f t="shared" si="7"/>
        <v>-52433.084380049993</v>
      </c>
      <c r="I238" s="279"/>
    </row>
    <row r="239" spans="1:9" x14ac:dyDescent="0.35">
      <c r="A239" s="9">
        <f t="shared" si="0"/>
        <v>228</v>
      </c>
      <c r="B239" s="9"/>
      <c r="C239" s="91"/>
      <c r="D239" s="10"/>
      <c r="E239" s="11"/>
      <c r="F239" s="20" t="s">
        <v>6</v>
      </c>
    </row>
    <row r="240" spans="1:9" x14ac:dyDescent="0.35">
      <c r="A240" s="9">
        <f t="shared" si="0"/>
        <v>229</v>
      </c>
      <c r="B240" s="13" t="s">
        <v>207</v>
      </c>
      <c r="C240" s="91"/>
      <c r="D240" s="10"/>
      <c r="E240" s="11"/>
      <c r="F240" s="15">
        <f>SUM(F174:F239)</f>
        <v>9944.1727243999994</v>
      </c>
    </row>
    <row r="241" spans="1:6" x14ac:dyDescent="0.35">
      <c r="A241" s="9">
        <f t="shared" si="0"/>
        <v>230</v>
      </c>
      <c r="B241" s="13" t="s">
        <v>208</v>
      </c>
      <c r="C241" s="104">
        <f>SUM!$L$46-1</f>
        <v>0.4873997600000004</v>
      </c>
      <c r="D241" s="10"/>
      <c r="E241" s="11"/>
      <c r="F241" s="15">
        <f>C241*F240</f>
        <v>4846.7873992711102</v>
      </c>
    </row>
    <row r="242" spans="1:6" x14ac:dyDescent="0.35">
      <c r="A242" s="9">
        <f t="shared" si="0"/>
        <v>231</v>
      </c>
      <c r="B242" s="9"/>
      <c r="C242" s="91"/>
      <c r="D242" s="10"/>
      <c r="E242" s="11"/>
      <c r="F242" s="20" t="s">
        <v>6</v>
      </c>
    </row>
    <row r="243" spans="1:6" x14ac:dyDescent="0.35">
      <c r="A243" s="9">
        <f t="shared" si="0"/>
        <v>232</v>
      </c>
      <c r="B243" s="13" t="str">
        <f>"Total " &amp; B173</f>
        <v>Total L1b Upgrade interior lighting to be 20-30% better than baseline (With Out DALI)</v>
      </c>
      <c r="C243" s="91"/>
      <c r="D243" s="10"/>
      <c r="E243" s="11"/>
      <c r="F243" s="15">
        <f>SUM(F240:F242)</f>
        <v>14790.96012367111</v>
      </c>
    </row>
    <row r="244" spans="1:6" x14ac:dyDescent="0.35">
      <c r="A244" s="9">
        <f t="shared" si="0"/>
        <v>233</v>
      </c>
      <c r="B244" s="13"/>
      <c r="C244" s="91"/>
      <c r="D244" s="10"/>
      <c r="E244" s="11"/>
      <c r="F244" s="15"/>
    </row>
    <row r="245" spans="1:6" x14ac:dyDescent="0.35">
      <c r="A245" s="42">
        <f t="shared" si="0"/>
        <v>234</v>
      </c>
      <c r="B245" s="62" t="str">
        <f>_xlfn.CONCAT('ECM-SUM'!B25,'ECM-SUM'!C25)</f>
        <v>P2 Plug Load Control</v>
      </c>
      <c r="C245" s="92"/>
      <c r="D245" s="63"/>
      <c r="E245" s="65"/>
      <c r="F245" s="42"/>
    </row>
    <row r="246" spans="1:6" x14ac:dyDescent="0.35">
      <c r="A246" s="9">
        <f t="shared" si="0"/>
        <v>235</v>
      </c>
      <c r="B246" s="9" t="s">
        <v>286</v>
      </c>
      <c r="C246" s="91"/>
      <c r="D246" s="10"/>
      <c r="E246" s="11"/>
      <c r="F246" s="18"/>
    </row>
    <row r="247" spans="1:6" x14ac:dyDescent="0.35">
      <c r="A247" s="9">
        <f t="shared" si="0"/>
        <v>236</v>
      </c>
      <c r="B247" s="13" t="s">
        <v>790</v>
      </c>
      <c r="C247" s="91">
        <v>6</v>
      </c>
      <c r="D247" s="10" t="s">
        <v>290</v>
      </c>
      <c r="E247" s="11">
        <v>2397.6239999999998</v>
      </c>
      <c r="F247" s="15">
        <f t="shared" ref="F247:F259" si="8">C247*E247</f>
        <v>14385.743999999999</v>
      </c>
    </row>
    <row r="248" spans="1:6" x14ac:dyDescent="0.35">
      <c r="A248" s="9">
        <f t="shared" si="0"/>
        <v>237</v>
      </c>
      <c r="B248" s="13" t="s">
        <v>420</v>
      </c>
      <c r="C248" s="91">
        <v>900</v>
      </c>
      <c r="D248" s="10" t="s">
        <v>300</v>
      </c>
      <c r="E248" s="11">
        <v>11.378444999999999</v>
      </c>
      <c r="F248" s="15">
        <f t="shared" si="8"/>
        <v>10240.600499999999</v>
      </c>
    </row>
    <row r="249" spans="1:6" x14ac:dyDescent="0.35">
      <c r="A249" s="9">
        <f t="shared" si="0"/>
        <v>238</v>
      </c>
      <c r="B249" s="13" t="s">
        <v>421</v>
      </c>
      <c r="C249" s="91">
        <v>2700</v>
      </c>
      <c r="D249" s="10" t="s">
        <v>300</v>
      </c>
      <c r="E249" s="11">
        <v>1.1848649999999998</v>
      </c>
      <c r="F249" s="15">
        <f t="shared" si="8"/>
        <v>3199.1354999999994</v>
      </c>
    </row>
    <row r="250" spans="1:6" x14ac:dyDescent="0.35">
      <c r="A250" s="9">
        <f t="shared" si="0"/>
        <v>239</v>
      </c>
      <c r="B250" s="13" t="s">
        <v>791</v>
      </c>
      <c r="C250" s="91">
        <v>30</v>
      </c>
      <c r="D250" s="10" t="s">
        <v>290</v>
      </c>
      <c r="E250" s="11">
        <v>484.94</v>
      </c>
      <c r="F250" s="15">
        <f t="shared" si="8"/>
        <v>14548.2</v>
      </c>
    </row>
    <row r="251" spans="1:6" x14ac:dyDescent="0.35">
      <c r="A251" s="9">
        <f t="shared" si="0"/>
        <v>240</v>
      </c>
      <c r="B251" s="13" t="s">
        <v>792</v>
      </c>
      <c r="C251" s="91">
        <v>30</v>
      </c>
      <c r="D251" s="10" t="s">
        <v>290</v>
      </c>
      <c r="E251" s="11">
        <v>125.82</v>
      </c>
      <c r="F251" s="15">
        <f t="shared" si="8"/>
        <v>3774.6</v>
      </c>
    </row>
    <row r="252" spans="1:6" x14ac:dyDescent="0.35">
      <c r="A252" s="9">
        <f t="shared" si="0"/>
        <v>241</v>
      </c>
      <c r="B252" s="13" t="s">
        <v>793</v>
      </c>
      <c r="C252" s="91">
        <v>300</v>
      </c>
      <c r="D252" s="10" t="s">
        <v>290</v>
      </c>
      <c r="E252" s="11">
        <v>109.75</v>
      </c>
      <c r="F252" s="15">
        <f t="shared" si="8"/>
        <v>32925</v>
      </c>
    </row>
    <row r="253" spans="1:6" x14ac:dyDescent="0.35">
      <c r="A253" s="9">
        <f t="shared" si="0"/>
        <v>242</v>
      </c>
      <c r="B253" s="13" t="s">
        <v>794</v>
      </c>
      <c r="C253" s="91">
        <v>4500</v>
      </c>
      <c r="D253" s="10" t="s">
        <v>300</v>
      </c>
      <c r="E253" s="11">
        <v>11.378444999999999</v>
      </c>
      <c r="F253" s="15">
        <f t="shared" si="8"/>
        <v>51203.002499999995</v>
      </c>
    </row>
    <row r="254" spans="1:6" x14ac:dyDescent="0.35">
      <c r="A254" s="9">
        <f t="shared" si="0"/>
        <v>243</v>
      </c>
      <c r="B254" s="13" t="s">
        <v>421</v>
      </c>
      <c r="C254" s="91">
        <v>13500</v>
      </c>
      <c r="D254" s="10" t="s">
        <v>300</v>
      </c>
      <c r="E254" s="11">
        <v>1.1848649999999998</v>
      </c>
      <c r="F254" s="15">
        <f t="shared" si="8"/>
        <v>15995.677499999998</v>
      </c>
    </row>
    <row r="255" spans="1:6" x14ac:dyDescent="0.35">
      <c r="A255" s="9">
        <f t="shared" si="0"/>
        <v>244</v>
      </c>
      <c r="B255" s="13" t="s">
        <v>795</v>
      </c>
      <c r="C255" s="91">
        <v>4500</v>
      </c>
      <c r="D255" s="10" t="s">
        <v>300</v>
      </c>
      <c r="E255" s="11">
        <v>8.6</v>
      </c>
      <c r="F255" s="15">
        <f t="shared" si="8"/>
        <v>38700</v>
      </c>
    </row>
    <row r="256" spans="1:6" x14ac:dyDescent="0.35">
      <c r="A256" s="9">
        <f t="shared" si="0"/>
        <v>245</v>
      </c>
      <c r="B256" s="13" t="s">
        <v>796</v>
      </c>
      <c r="C256" s="91">
        <v>15000</v>
      </c>
      <c r="D256" s="10" t="s">
        <v>300</v>
      </c>
      <c r="E256" s="11">
        <v>1.01</v>
      </c>
      <c r="F256" s="15">
        <f t="shared" si="8"/>
        <v>15150</v>
      </c>
    </row>
    <row r="257" spans="1:6" x14ac:dyDescent="0.35">
      <c r="A257" s="9">
        <f t="shared" si="0"/>
        <v>246</v>
      </c>
      <c r="B257" s="13" t="s">
        <v>797</v>
      </c>
      <c r="C257" s="91">
        <v>300</v>
      </c>
      <c r="D257" s="10" t="s">
        <v>290</v>
      </c>
      <c r="E257" s="11">
        <v>109.75</v>
      </c>
      <c r="F257" s="15">
        <f t="shared" si="8"/>
        <v>32925</v>
      </c>
    </row>
    <row r="258" spans="1:6" x14ac:dyDescent="0.35">
      <c r="A258" s="9">
        <f t="shared" si="0"/>
        <v>247</v>
      </c>
      <c r="B258" s="13" t="s">
        <v>420</v>
      </c>
      <c r="C258" s="91">
        <v>4500</v>
      </c>
      <c r="D258" s="10" t="s">
        <v>300</v>
      </c>
      <c r="E258" s="11">
        <v>11.378444999999999</v>
      </c>
      <c r="F258" s="15">
        <f t="shared" si="8"/>
        <v>51203.002499999995</v>
      </c>
    </row>
    <row r="259" spans="1:6" x14ac:dyDescent="0.35">
      <c r="A259" s="9">
        <f t="shared" si="0"/>
        <v>248</v>
      </c>
      <c r="B259" s="13" t="s">
        <v>421</v>
      </c>
      <c r="C259" s="91">
        <v>13500</v>
      </c>
      <c r="D259" s="10" t="s">
        <v>300</v>
      </c>
      <c r="E259" s="11">
        <v>1.1848649999999998</v>
      </c>
      <c r="F259" s="15">
        <f t="shared" si="8"/>
        <v>15995.677499999998</v>
      </c>
    </row>
    <row r="260" spans="1:6" x14ac:dyDescent="0.35">
      <c r="A260" s="9">
        <f t="shared" si="0"/>
        <v>249</v>
      </c>
      <c r="B260" s="9" t="s">
        <v>288</v>
      </c>
      <c r="C260" s="91"/>
      <c r="D260" s="10"/>
      <c r="E260" s="11"/>
      <c r="F260" s="15">
        <f t="shared" ref="F260:F276" si="9">C260*E260</f>
        <v>0</v>
      </c>
    </row>
    <row r="261" spans="1:6" x14ac:dyDescent="0.35">
      <c r="A261" s="9">
        <f t="shared" si="0"/>
        <v>250</v>
      </c>
      <c r="B261" s="13" t="s">
        <v>800</v>
      </c>
      <c r="C261" s="91">
        <v>-319</v>
      </c>
      <c r="D261" s="10" t="s">
        <v>290</v>
      </c>
      <c r="E261" s="11">
        <v>109.74674999999999</v>
      </c>
      <c r="F261" s="15">
        <f t="shared" si="9"/>
        <v>-35009.213250000001</v>
      </c>
    </row>
    <row r="262" spans="1:6" x14ac:dyDescent="0.35">
      <c r="A262" s="9">
        <f t="shared" si="0"/>
        <v>251</v>
      </c>
      <c r="B262" s="13" t="s">
        <v>801</v>
      </c>
      <c r="C262" s="91">
        <v>-30</v>
      </c>
      <c r="D262" s="10" t="s">
        <v>290</v>
      </c>
      <c r="E262" s="11">
        <v>135.56610000000001</v>
      </c>
      <c r="F262" s="15">
        <f t="shared" si="9"/>
        <v>-4066.9830000000002</v>
      </c>
    </row>
    <row r="263" spans="1:6" x14ac:dyDescent="0.35">
      <c r="A263" s="9">
        <f t="shared" si="0"/>
        <v>252</v>
      </c>
      <c r="B263" s="13" t="s">
        <v>802</v>
      </c>
      <c r="C263" s="91">
        <v>-17</v>
      </c>
      <c r="D263" s="10" t="s">
        <v>290</v>
      </c>
      <c r="E263" s="11">
        <v>144.99600000000001</v>
      </c>
      <c r="F263" s="15">
        <f t="shared" si="9"/>
        <v>-2464.9320000000002</v>
      </c>
    </row>
    <row r="264" spans="1:6" x14ac:dyDescent="0.35">
      <c r="A264" s="9">
        <f t="shared" si="0"/>
        <v>253</v>
      </c>
      <c r="B264" s="13" t="s">
        <v>803</v>
      </c>
      <c r="C264" s="91">
        <v>-3</v>
      </c>
      <c r="D264" s="10" t="s">
        <v>290</v>
      </c>
      <c r="E264" s="11">
        <v>148.86600000000001</v>
      </c>
      <c r="F264" s="15">
        <f t="shared" si="9"/>
        <v>-446.59800000000007</v>
      </c>
    </row>
    <row r="265" spans="1:6" x14ac:dyDescent="0.35">
      <c r="A265" s="9">
        <f t="shared" si="0"/>
        <v>254</v>
      </c>
      <c r="B265" s="13" t="s">
        <v>804</v>
      </c>
      <c r="C265" s="91">
        <v>-165</v>
      </c>
      <c r="D265" s="10" t="s">
        <v>290</v>
      </c>
      <c r="E265" s="11">
        <v>151.44600000000003</v>
      </c>
      <c r="F265" s="15">
        <f t="shared" si="9"/>
        <v>-24988.590000000004</v>
      </c>
    </row>
    <row r="266" spans="1:6" x14ac:dyDescent="0.35">
      <c r="A266" s="9">
        <f t="shared" si="0"/>
        <v>255</v>
      </c>
      <c r="B266" s="13" t="s">
        <v>805</v>
      </c>
      <c r="C266" s="91">
        <v>-3</v>
      </c>
      <c r="D266" s="10" t="s">
        <v>290</v>
      </c>
      <c r="E266" s="11">
        <v>159.38595000000001</v>
      </c>
      <c r="F266" s="15">
        <f t="shared" si="9"/>
        <v>-478.15785000000005</v>
      </c>
    </row>
    <row r="267" spans="1:6" x14ac:dyDescent="0.35">
      <c r="A267" s="9">
        <f t="shared" si="0"/>
        <v>256</v>
      </c>
      <c r="B267" s="13" t="s">
        <v>806</v>
      </c>
      <c r="C267" s="91">
        <v>-1</v>
      </c>
      <c r="D267" s="10" t="s">
        <v>290</v>
      </c>
      <c r="E267" s="11">
        <v>704.98500000000001</v>
      </c>
      <c r="F267" s="15">
        <f t="shared" si="9"/>
        <v>-704.98500000000001</v>
      </c>
    </row>
    <row r="268" spans="1:6" x14ac:dyDescent="0.35">
      <c r="A268" s="9">
        <f t="shared" si="0"/>
        <v>257</v>
      </c>
      <c r="B268" s="13" t="s">
        <v>807</v>
      </c>
      <c r="C268" s="91">
        <v>-18</v>
      </c>
      <c r="D268" s="10" t="s">
        <v>290</v>
      </c>
      <c r="E268" s="11">
        <v>918.48</v>
      </c>
      <c r="F268" s="15">
        <f t="shared" si="9"/>
        <v>-16532.64</v>
      </c>
    </row>
    <row r="269" spans="1:6" x14ac:dyDescent="0.35">
      <c r="A269" s="9">
        <f t="shared" si="0"/>
        <v>258</v>
      </c>
      <c r="B269" s="13" t="s">
        <v>808</v>
      </c>
      <c r="C269" s="91">
        <v>-22</v>
      </c>
      <c r="D269" s="10" t="s">
        <v>290</v>
      </c>
      <c r="E269" s="11">
        <v>181.245</v>
      </c>
      <c r="F269" s="15">
        <f t="shared" si="9"/>
        <v>-3987.3900000000003</v>
      </c>
    </row>
    <row r="270" spans="1:6" x14ac:dyDescent="0.35">
      <c r="A270" s="9">
        <f t="shared" si="0"/>
        <v>259</v>
      </c>
      <c r="B270" s="13" t="s">
        <v>809</v>
      </c>
      <c r="C270" s="91">
        <v>-22</v>
      </c>
      <c r="D270" s="10" t="s">
        <v>290</v>
      </c>
      <c r="E270" s="11">
        <v>181.245</v>
      </c>
      <c r="F270" s="15">
        <f t="shared" si="9"/>
        <v>-3987.3900000000003</v>
      </c>
    </row>
    <row r="271" spans="1:6" x14ac:dyDescent="0.35">
      <c r="A271" s="9">
        <f t="shared" si="0"/>
        <v>260</v>
      </c>
      <c r="B271" s="13" t="s">
        <v>810</v>
      </c>
      <c r="C271" s="91">
        <v>-3</v>
      </c>
      <c r="D271" s="10" t="s">
        <v>290</v>
      </c>
      <c r="E271" s="11">
        <v>342.495</v>
      </c>
      <c r="F271" s="15">
        <f t="shared" si="9"/>
        <v>-1027.4850000000001</v>
      </c>
    </row>
    <row r="272" spans="1:6" x14ac:dyDescent="0.35">
      <c r="A272" s="9">
        <f t="shared" si="0"/>
        <v>261</v>
      </c>
      <c r="B272" s="13" t="s">
        <v>420</v>
      </c>
      <c r="C272" s="91">
        <v>-55</v>
      </c>
      <c r="D272" s="10" t="s">
        <v>300</v>
      </c>
      <c r="E272" s="11">
        <v>11.378444999999999</v>
      </c>
      <c r="F272" s="15">
        <f t="shared" si="9"/>
        <v>-625.8144749999999</v>
      </c>
    </row>
    <row r="273" spans="1:6" x14ac:dyDescent="0.35">
      <c r="A273" s="9">
        <f t="shared" si="0"/>
        <v>262</v>
      </c>
      <c r="B273" s="13" t="s">
        <v>441</v>
      </c>
      <c r="C273" s="91">
        <v>-110</v>
      </c>
      <c r="D273" s="10" t="s">
        <v>300</v>
      </c>
      <c r="E273" s="11">
        <v>20.362198499999998</v>
      </c>
      <c r="F273" s="15">
        <f t="shared" si="9"/>
        <v>-2239.8418349999997</v>
      </c>
    </row>
    <row r="274" spans="1:6" x14ac:dyDescent="0.35">
      <c r="A274" s="9">
        <f t="shared" si="0"/>
        <v>263</v>
      </c>
      <c r="B274" s="13" t="s">
        <v>422</v>
      </c>
      <c r="C274" s="91">
        <v>-50</v>
      </c>
      <c r="D274" s="10" t="s">
        <v>300</v>
      </c>
      <c r="E274" s="11">
        <v>13.3563375</v>
      </c>
      <c r="F274" s="15">
        <f t="shared" si="9"/>
        <v>-667.81687499999998</v>
      </c>
    </row>
    <row r="275" spans="1:6" x14ac:dyDescent="0.35">
      <c r="A275" s="9">
        <f t="shared" si="0"/>
        <v>264</v>
      </c>
      <c r="B275" s="13" t="s">
        <v>420</v>
      </c>
      <c r="C275" s="91">
        <v>-6444</v>
      </c>
      <c r="D275" s="10" t="s">
        <v>300</v>
      </c>
      <c r="E275" s="11">
        <v>11.378444999999999</v>
      </c>
      <c r="F275" s="15">
        <f t="shared" si="9"/>
        <v>-73322.69958</v>
      </c>
    </row>
    <row r="276" spans="1:6" x14ac:dyDescent="0.35">
      <c r="A276" s="9">
        <f t="shared" si="0"/>
        <v>265</v>
      </c>
      <c r="B276" s="13" t="s">
        <v>421</v>
      </c>
      <c r="C276" s="91">
        <v>-19332</v>
      </c>
      <c r="D276" s="10" t="s">
        <v>300</v>
      </c>
      <c r="E276" s="11">
        <v>1.1848649999999998</v>
      </c>
      <c r="F276" s="15">
        <f t="shared" si="9"/>
        <v>-22905.810179999997</v>
      </c>
    </row>
    <row r="277" spans="1:6" x14ac:dyDescent="0.35">
      <c r="A277" s="9">
        <f t="shared" si="0"/>
        <v>266</v>
      </c>
      <c r="B277" s="9"/>
      <c r="C277" s="91"/>
      <c r="D277" s="10"/>
      <c r="E277" s="11"/>
      <c r="F277" s="20" t="s">
        <v>6</v>
      </c>
    </row>
    <row r="278" spans="1:6" x14ac:dyDescent="0.35">
      <c r="A278" s="9">
        <f t="shared" si="0"/>
        <v>267</v>
      </c>
      <c r="B278" s="13" t="s">
        <v>207</v>
      </c>
      <c r="C278" s="91"/>
      <c r="D278" s="10"/>
      <c r="E278" s="11"/>
      <c r="F278" s="15">
        <f>SUM(F246:F277)</f>
        <v>106789.29295500003</v>
      </c>
    </row>
    <row r="279" spans="1:6" x14ac:dyDescent="0.35">
      <c r="A279" s="9">
        <f t="shared" si="0"/>
        <v>268</v>
      </c>
      <c r="B279" s="13" t="s">
        <v>208</v>
      </c>
      <c r="C279" s="104">
        <f>SUM!$L$46-1</f>
        <v>0.4873997600000004</v>
      </c>
      <c r="D279" s="10"/>
      <c r="E279" s="11"/>
      <c r="F279" s="15">
        <f>C279*F278</f>
        <v>52049.075756836748</v>
      </c>
    </row>
    <row r="280" spans="1:6" x14ac:dyDescent="0.35">
      <c r="A280" s="9">
        <f t="shared" si="0"/>
        <v>269</v>
      </c>
      <c r="B280" s="9"/>
      <c r="C280" s="91"/>
      <c r="D280" s="10"/>
      <c r="E280" s="11"/>
      <c r="F280" s="20" t="s">
        <v>6</v>
      </c>
    </row>
    <row r="281" spans="1:6" x14ac:dyDescent="0.35">
      <c r="A281" s="9">
        <f t="shared" si="0"/>
        <v>270</v>
      </c>
      <c r="B281" s="13" t="str">
        <f>"Total " &amp; B245</f>
        <v>Total P2 Plug Load Control</v>
      </c>
      <c r="C281" s="91"/>
      <c r="D281" s="10"/>
      <c r="E281" s="11"/>
      <c r="F281" s="15">
        <f>SUM(F278:F280)</f>
        <v>158838.36871183678</v>
      </c>
    </row>
    <row r="282" spans="1:6" x14ac:dyDescent="0.35">
      <c r="A282" s="9">
        <f t="shared" si="0"/>
        <v>271</v>
      </c>
      <c r="B282" s="13"/>
      <c r="C282" s="91"/>
      <c r="D282" s="10"/>
      <c r="E282" s="11"/>
      <c r="F282" s="15"/>
    </row>
    <row r="283" spans="1:6" x14ac:dyDescent="0.35">
      <c r="A283" s="42">
        <f t="shared" ref="A283:A300" si="10">ROW()-11</f>
        <v>272</v>
      </c>
      <c r="B283" s="62" t="str">
        <f>_xlfn.CONCAT('ECM-SUM'!B34,'ECM-SUM'!C34)</f>
        <v>C1 Demand Control Ventilation</v>
      </c>
      <c r="C283" s="92"/>
      <c r="D283" s="63"/>
      <c r="E283" s="65"/>
      <c r="F283" s="42"/>
    </row>
    <row r="284" spans="1:6" x14ac:dyDescent="0.35">
      <c r="A284" s="9">
        <f t="shared" si="10"/>
        <v>273</v>
      </c>
      <c r="B284" s="9"/>
      <c r="C284" s="91"/>
      <c r="D284" s="10"/>
      <c r="E284" s="11"/>
      <c r="F284" s="18"/>
    </row>
    <row r="285" spans="1:6" x14ac:dyDescent="0.35">
      <c r="A285" s="9">
        <f t="shared" si="10"/>
        <v>274</v>
      </c>
      <c r="B285" s="13" t="s">
        <v>787</v>
      </c>
      <c r="C285" s="91">
        <v>102</v>
      </c>
      <c r="D285" s="10" t="s">
        <v>290</v>
      </c>
      <c r="E285" s="11">
        <v>1100</v>
      </c>
      <c r="F285" s="15">
        <f>C285*E285</f>
        <v>112200</v>
      </c>
    </row>
    <row r="286" spans="1:6" x14ac:dyDescent="0.35">
      <c r="A286" s="9">
        <f t="shared" si="10"/>
        <v>275</v>
      </c>
      <c r="B286" s="9"/>
      <c r="C286" s="91"/>
      <c r="D286" s="10"/>
      <c r="E286" s="11"/>
      <c r="F286" s="20" t="s">
        <v>6</v>
      </c>
    </row>
    <row r="287" spans="1:6" x14ac:dyDescent="0.35">
      <c r="A287" s="9">
        <f t="shared" si="10"/>
        <v>276</v>
      </c>
      <c r="B287" s="13" t="s">
        <v>207</v>
      </c>
      <c r="C287" s="91"/>
      <c r="D287" s="10"/>
      <c r="E287" s="11"/>
      <c r="F287" s="15">
        <f>SUM(F284:F286)</f>
        <v>112200</v>
      </c>
    </row>
    <row r="288" spans="1:6" x14ac:dyDescent="0.35">
      <c r="A288" s="9">
        <f t="shared" si="10"/>
        <v>277</v>
      </c>
      <c r="B288" s="13" t="s">
        <v>208</v>
      </c>
      <c r="C288" s="104">
        <f>SUM!$L$46-1</f>
        <v>0.4873997600000004</v>
      </c>
      <c r="D288" s="10"/>
      <c r="E288" s="11"/>
      <c r="F288" s="15">
        <f>C288*F287</f>
        <v>54686.253072000043</v>
      </c>
    </row>
    <row r="289" spans="1:7" x14ac:dyDescent="0.35">
      <c r="A289" s="9">
        <f t="shared" si="10"/>
        <v>278</v>
      </c>
      <c r="B289" s="9"/>
      <c r="C289" s="91"/>
      <c r="D289" s="10"/>
      <c r="E289" s="11"/>
      <c r="F289" s="20" t="s">
        <v>6</v>
      </c>
    </row>
    <row r="290" spans="1:7" x14ac:dyDescent="0.35">
      <c r="A290" s="9">
        <f t="shared" si="10"/>
        <v>279</v>
      </c>
      <c r="B290" s="13" t="str">
        <f>"Total " &amp; B283</f>
        <v>Total C1 Demand Control Ventilation</v>
      </c>
      <c r="C290" s="91"/>
      <c r="D290" s="10"/>
      <c r="E290" s="11"/>
      <c r="F290" s="15">
        <f>SUM(F287:F289)</f>
        <v>166886.25307200005</v>
      </c>
    </row>
    <row r="291" spans="1:7" x14ac:dyDescent="0.35">
      <c r="A291" s="9">
        <f t="shared" si="10"/>
        <v>280</v>
      </c>
      <c r="B291" s="13"/>
      <c r="C291" s="91"/>
      <c r="D291" s="10"/>
      <c r="E291" s="11"/>
      <c r="F291" s="15"/>
    </row>
    <row r="292" spans="1:7" x14ac:dyDescent="0.35">
      <c r="A292" s="42">
        <f t="shared" si="10"/>
        <v>281</v>
      </c>
      <c r="B292" s="62" t="str">
        <f>_xlfn.CONCAT('ECM-SUM'!B37,'ECM-SUM'!C37)</f>
        <v>W1 Low Flow Faucets &amp; Fixtures</v>
      </c>
      <c r="C292" s="92"/>
      <c r="D292" s="63"/>
      <c r="E292" s="65"/>
      <c r="F292" s="42"/>
    </row>
    <row r="293" spans="1:7" x14ac:dyDescent="0.35">
      <c r="A293" s="9">
        <f t="shared" si="10"/>
        <v>282</v>
      </c>
      <c r="B293" s="9"/>
      <c r="C293" s="91"/>
      <c r="D293" s="10"/>
      <c r="E293" s="11"/>
      <c r="F293" s="18"/>
    </row>
    <row r="294" spans="1:7" x14ac:dyDescent="0.35">
      <c r="A294" s="9">
        <f t="shared" si="10"/>
        <v>283</v>
      </c>
      <c r="B294" s="159" t="s">
        <v>788</v>
      </c>
      <c r="C294" s="272">
        <v>25</v>
      </c>
      <c r="D294" s="10" t="s">
        <v>290</v>
      </c>
      <c r="E294" s="273">
        <v>350</v>
      </c>
      <c r="F294" s="19">
        <f t="shared" ref="F294" si="11">E294*$C294</f>
        <v>8750</v>
      </c>
      <c r="G294" s="290"/>
    </row>
    <row r="295" spans="1:7" x14ac:dyDescent="0.35">
      <c r="A295" s="9">
        <f t="shared" si="10"/>
        <v>284</v>
      </c>
      <c r="B295" s="9"/>
      <c r="C295" s="91"/>
      <c r="D295" s="10"/>
      <c r="E295" s="11"/>
      <c r="F295" s="20" t="s">
        <v>6</v>
      </c>
    </row>
    <row r="296" spans="1:7" x14ac:dyDescent="0.35">
      <c r="A296" s="9">
        <f t="shared" si="10"/>
        <v>285</v>
      </c>
      <c r="B296" s="13" t="s">
        <v>207</v>
      </c>
      <c r="C296" s="91"/>
      <c r="D296" s="10"/>
      <c r="E296" s="11"/>
      <c r="F296" s="15">
        <f>SUM(F293:F295)</f>
        <v>8750</v>
      </c>
    </row>
    <row r="297" spans="1:7" x14ac:dyDescent="0.35">
      <c r="A297" s="9">
        <f t="shared" si="10"/>
        <v>286</v>
      </c>
      <c r="B297" s="13" t="s">
        <v>208</v>
      </c>
      <c r="C297" s="104">
        <f>SUM!$L$46-1</f>
        <v>0.4873997600000004</v>
      </c>
      <c r="D297" s="10"/>
      <c r="E297" s="11"/>
      <c r="F297" s="15">
        <f>C297*F296</f>
        <v>4264.7479000000039</v>
      </c>
    </row>
    <row r="298" spans="1:7" x14ac:dyDescent="0.35">
      <c r="A298" s="9">
        <f t="shared" si="10"/>
        <v>287</v>
      </c>
      <c r="B298" s="9"/>
      <c r="C298" s="91"/>
      <c r="D298" s="10"/>
      <c r="E298" s="11"/>
      <c r="F298" s="20" t="s">
        <v>6</v>
      </c>
    </row>
    <row r="299" spans="1:7" x14ac:dyDescent="0.35">
      <c r="A299" s="9">
        <f t="shared" si="10"/>
        <v>288</v>
      </c>
      <c r="B299" s="13" t="str">
        <f>"Total " &amp; B292</f>
        <v>Total W1 Low Flow Faucets &amp; Fixtures</v>
      </c>
      <c r="C299" s="91"/>
      <c r="D299" s="10"/>
      <c r="E299" s="11"/>
      <c r="F299" s="15">
        <f>SUM(F296:F298)</f>
        <v>13014.747900000004</v>
      </c>
    </row>
    <row r="300" spans="1:7" x14ac:dyDescent="0.35">
      <c r="A300" s="9">
        <f t="shared" si="10"/>
        <v>289</v>
      </c>
      <c r="B300" s="13"/>
      <c r="C300" s="91"/>
      <c r="D300" s="10"/>
      <c r="E300" s="11"/>
      <c r="F300" s="15"/>
    </row>
    <row r="301" spans="1:7" x14ac:dyDescent="0.35">
      <c r="A301" s="43" t="s">
        <v>60</v>
      </c>
      <c r="B301" s="43"/>
      <c r="C301" s="93"/>
      <c r="D301" s="44"/>
      <c r="E301" s="46"/>
      <c r="F301" s="47"/>
    </row>
  </sheetData>
  <mergeCells count="6">
    <mergeCell ref="E10:E11"/>
    <mergeCell ref="F10:F11"/>
    <mergeCell ref="A10:A11"/>
    <mergeCell ref="B10:B11"/>
    <mergeCell ref="C10:C11"/>
    <mergeCell ref="D10:D1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bcc9c-80ba-40b3-aa89-e92967b8dfb4">
      <Terms xmlns="http://schemas.microsoft.com/office/infopath/2007/PartnerControls"/>
    </lcf76f155ced4ddcb4097134ff3c332f>
    <TaxCatchAll xmlns="97e84eae-f941-4502-992c-68ccabff92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2331AB3C940409B728EA7BFBF5F66" ma:contentTypeVersion="16" ma:contentTypeDescription="Create a new document." ma:contentTypeScope="" ma:versionID="d228b7809778d21079c4f5f5ac6b06c1">
  <xsd:schema xmlns:xsd="http://www.w3.org/2001/XMLSchema" xmlns:xs="http://www.w3.org/2001/XMLSchema" xmlns:p="http://schemas.microsoft.com/office/2006/metadata/properties" xmlns:ns2="97e84eae-f941-4502-992c-68ccabff920e" xmlns:ns3="4f0bcc9c-80ba-40b3-aa89-e92967b8dfb4" targetNamespace="http://schemas.microsoft.com/office/2006/metadata/properties" ma:root="true" ma:fieldsID="e4cc7affea0308e426360f6ded703263" ns2:_="" ns3:_="">
    <xsd:import namespace="97e84eae-f941-4502-992c-68ccabff920e"/>
    <xsd:import namespace="4f0bcc9c-80ba-40b3-aa89-e92967b8df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84eae-f941-4502-992c-68ccabff92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cf5e80a-d3b2-4f70-bb38-701f75c0cfac}" ma:internalName="TaxCatchAll" ma:showField="CatchAllData" ma:web="97e84eae-f941-4502-992c-68ccabff92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bcc9c-80ba-40b3-aa89-e92967b8df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56a2a95-a860-4974-b6d7-f811bd36a0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5973A-E964-4618-9567-1326F4D63FB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1D11247-6BB8-4B80-86FD-415A1BB22DE7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4f0bcc9c-80ba-40b3-aa89-e92967b8dfb4"/>
    <ds:schemaRef ds:uri="97e84eae-f941-4502-992c-68ccabff920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FF0E5FA-C221-4668-B884-8DE3DF85FA5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66AB32-4DA0-4284-9876-5F6C90E5B9D3}">
  <ds:schemaRefs>
    <ds:schemaRef ds:uri="http://www.w3.org/2001/XMLSchema"/>
  </ds:schemaRefs>
</ds:datastoreItem>
</file>

<file path=customXml/itemProps5.xml><?xml version="1.0" encoding="utf-8"?>
<ds:datastoreItem xmlns:ds="http://schemas.openxmlformats.org/officeDocument/2006/customXml" ds:itemID="{BD6D6AD8-8B00-4192-BA38-8EA3A399A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84eae-f941-4502-992c-68ccabff920e"/>
    <ds:schemaRef ds:uri="4f0bcc9c-80ba-40b3-aa89-e92967b8df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TITLE</vt:lpstr>
      <vt:lpstr>BOE</vt:lpstr>
      <vt:lpstr>SUM</vt:lpstr>
      <vt:lpstr>EST</vt:lpstr>
      <vt:lpstr>SUM SITE</vt:lpstr>
      <vt:lpstr>EST SITE</vt:lpstr>
      <vt:lpstr>ECM-SUM</vt:lpstr>
      <vt:lpstr>ECM-SUM (2)</vt:lpstr>
      <vt:lpstr>ECM-EST</vt:lpstr>
      <vt:lpstr>BOE!Print_Area</vt:lpstr>
      <vt:lpstr>'ECM-EST'!Print_Area</vt:lpstr>
      <vt:lpstr>EST!Print_Area</vt:lpstr>
      <vt:lpstr>'EST SITE'!Print_Area</vt:lpstr>
      <vt:lpstr>SUM!Print_Area</vt:lpstr>
      <vt:lpstr>'SUM SITE'!Print_Area</vt:lpstr>
      <vt:lpstr>TITLE!Print_Area</vt:lpstr>
      <vt:lpstr>BOE!Print_Titles</vt:lpstr>
      <vt:lpstr>'ECM-EST'!Print_Titles</vt:lpstr>
      <vt:lpstr>'ECM-SUM'!Print_Titles</vt:lpstr>
      <vt:lpstr>EST!Print_Titles</vt:lpstr>
      <vt:lpstr>'EST SITE'!Print_Titles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>Chongba Sherpa</cp:lastModifiedBy>
  <cp:revision/>
  <cp:lastPrinted>2021-02-01T21:00:11Z</cp:lastPrinted>
  <dcterms:created xsi:type="dcterms:W3CDTF">2020-10-07T23:39:36Z</dcterms:created>
  <dcterms:modified xsi:type="dcterms:W3CDTF">2025-10-03T19:39:48Z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0x010100CBA2331AB3C940409B728EA7BFBF5F66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{5971471B-70A2-4EF9-93B7-131B1D3B63E6}</vt:lpwstr>
  </property>
</Properties>
</file>